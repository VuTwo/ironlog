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eek 1" sheetId="2" state="visible" r:id="rId2"/>
    <sheet xmlns:r="http://schemas.openxmlformats.org/officeDocument/2006/relationships" name="Week 2" sheetId="3" state="visible" r:id="rId3"/>
    <sheet xmlns:r="http://schemas.openxmlformats.org/officeDocument/2006/relationships" name="Week 3" sheetId="4" state="visible" r:id="rId4"/>
    <sheet xmlns:r="http://schemas.openxmlformats.org/officeDocument/2006/relationships" name="Week 4" sheetId="5" state="visible" r:id="rId5"/>
    <sheet xmlns:r="http://schemas.openxmlformats.org/officeDocument/2006/relationships" name="Week 5" sheetId="6" state="visible" r:id="rId6"/>
    <sheet xmlns:r="http://schemas.openxmlformats.org/officeDocument/2006/relationships" name="Week 6" sheetId="7" state="visible" r:id="rId7"/>
    <sheet xmlns:r="http://schemas.openxmlformats.org/officeDocument/2006/relationships" name="Week 7" sheetId="8" state="visible" r:id="rId8"/>
    <sheet xmlns:r="http://schemas.openxmlformats.org/officeDocument/2006/relationships" name="Week 8" sheetId="9" state="visible" r:id="rId9"/>
    <sheet xmlns:r="http://schemas.openxmlformats.org/officeDocument/2006/relationships" name="Progress Log" sheetId="10" state="visible" r:id="rId10"/>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20"/>
    </font>
    <font>
      <name val="Calibri"/>
      <i val="1"/>
      <color rgb="00FFFFFF"/>
      <sz val="11"/>
    </font>
    <font>
      <b val="1"/>
      <color rgb="00C0392B"/>
      <sz val="12"/>
    </font>
    <font>
      <name val="Calibri"/>
      <b val="1"/>
      <color rgb="00FFFFFF"/>
      <sz val="10"/>
    </font>
    <font>
      <name val="Calibri"/>
      <b val="1"/>
      <sz val="10"/>
    </font>
    <font>
      <name val="Calibri"/>
      <sz val="10"/>
    </font>
    <font>
      <b val="1"/>
      <color rgb="00FFFFFF"/>
      <sz val="13"/>
    </font>
    <font>
      <name val="Calibri"/>
      <b val="1"/>
      <color rgb="00FFFFFF"/>
      <sz val="12"/>
    </font>
    <font>
      <name val="Calibri"/>
      <i val="1"/>
      <color rgb="00555555"/>
      <sz val="9"/>
    </font>
  </fonts>
  <fills count="8">
    <fill>
      <patternFill/>
    </fill>
    <fill>
      <patternFill patternType="gray125"/>
    </fill>
    <fill>
      <patternFill patternType="solid">
        <fgColor rgb="001A1A2E"/>
      </patternFill>
    </fill>
    <fill>
      <patternFill patternType="solid">
        <fgColor rgb="00C0392B"/>
      </patternFill>
    </fill>
    <fill>
      <patternFill patternType="solid">
        <fgColor rgb="0034495E"/>
      </patternFill>
    </fill>
    <fill>
      <patternFill patternType="solid">
        <fgColor rgb="00ECF0F1"/>
      </patternFill>
    </fill>
    <fill>
      <patternFill patternType="solid">
        <fgColor rgb="008E6E1F"/>
      </patternFill>
    </fill>
    <fill>
      <patternFill patternType="solid">
        <fgColor rgb="00F5E6C8"/>
      </patternFill>
    </fill>
  </fills>
  <borders count="5">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1">
    <xf numFmtId="0" fontId="0" fillId="0" borderId="0"/>
  </cellStyleXfs>
  <cellXfs count="27">
    <xf numFmtId="0" fontId="0" fillId="0" borderId="0" pivotButton="0" quotePrefix="0" xfId="0"/>
    <xf numFmtId="0" fontId="1" fillId="2" borderId="0" pivotButton="0" quotePrefix="0" xfId="0"/>
    <xf numFmtId="0" fontId="2" fillId="2" borderId="0" pivotButton="0" quotePrefix="0" xfId="0"/>
    <xf numFmtId="0" fontId="3" fillId="0" borderId="0" pivotButton="0" quotePrefix="0" xfId="0"/>
    <xf numFmtId="0" fontId="4" fillId="2"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0" pivotButton="0" quotePrefix="0" xfId="0"/>
    <xf numFmtId="0" fontId="4" fillId="2" borderId="1" applyAlignment="1" pivotButton="0" quotePrefix="0" xfId="0">
      <alignment vertical="top" wrapText="1"/>
    </xf>
    <xf numFmtId="0" fontId="6" fillId="0" borderId="1" applyAlignment="1" pivotButton="0" quotePrefix="0" xfId="0">
      <alignment vertical="top" wrapText="1"/>
    </xf>
    <xf numFmtId="0" fontId="7" fillId="3" borderId="0" applyAlignment="1" pivotButton="0" quotePrefix="0" xfId="0">
      <alignment horizontal="left" vertical="center" indent="1"/>
    </xf>
    <xf numFmtId="0" fontId="8" fillId="4" borderId="0" applyAlignment="1" pivotButton="0" quotePrefix="0" xfId="0">
      <alignment horizontal="left" vertical="center" indent="1"/>
    </xf>
    <xf numFmtId="0" fontId="5" fillId="0" borderId="1" applyAlignment="1" pivotButton="0" quotePrefix="0" xfId="0">
      <alignment vertical="top" wrapText="1"/>
    </xf>
    <xf numFmtId="0" fontId="6" fillId="0" borderId="1" applyAlignment="1" pivotButton="0" quotePrefix="0" xfId="0">
      <alignment horizontal="center" vertical="top" wrapText="1"/>
    </xf>
    <xf numFmtId="0" fontId="0" fillId="0" borderId="3" pivotButton="0" quotePrefix="0" xfId="0"/>
    <xf numFmtId="0" fontId="0" fillId="0" borderId="4" pivotButton="0" quotePrefix="0" xfId="0"/>
    <xf numFmtId="0" fontId="5" fillId="5" borderId="1" applyAlignment="1" pivotButton="0" quotePrefix="0" xfId="0">
      <alignment vertical="top" wrapText="1"/>
    </xf>
    <xf numFmtId="0" fontId="6" fillId="5" borderId="1" applyAlignment="1" pivotButton="0" quotePrefix="0" xfId="0">
      <alignment horizontal="center" vertical="top" wrapText="1"/>
    </xf>
    <xf numFmtId="0" fontId="6" fillId="5" borderId="1" applyAlignment="1" pivotButton="0" quotePrefix="0" xfId="0">
      <alignment vertical="top" wrapText="1"/>
    </xf>
    <xf numFmtId="0" fontId="7" fillId="6" borderId="0" applyAlignment="1" pivotButton="0" quotePrefix="0" xfId="0">
      <alignment horizontal="left" vertical="center" indent="1"/>
    </xf>
    <xf numFmtId="0" fontId="5" fillId="7" borderId="1" applyAlignment="1" pivotButton="0" quotePrefix="0" xfId="0">
      <alignment vertical="top" wrapText="1"/>
    </xf>
    <xf numFmtId="0" fontId="6" fillId="7" borderId="1" applyAlignment="1" pivotButton="0" quotePrefix="0" xfId="0">
      <alignment horizontal="center" vertical="top" wrapText="1"/>
    </xf>
    <xf numFmtId="0" fontId="6" fillId="7" borderId="1" applyAlignment="1" pivotButton="0" quotePrefix="0" xfId="0">
      <alignment vertical="top" wrapText="1"/>
    </xf>
    <xf numFmtId="0" fontId="0" fillId="5" borderId="1" applyAlignment="1" pivotButton="0" quotePrefix="0" xfId="0">
      <alignment horizontal="center" vertical="top" wrapText="1"/>
    </xf>
    <xf numFmtId="0" fontId="0" fillId="5" borderId="1" pivotButton="0" quotePrefix="0" xfId="0"/>
    <xf numFmtId="0" fontId="0" fillId="0" borderId="1" applyAlignment="1" pivotButton="0" quotePrefix="0" xfId="0">
      <alignment horizontal="center" vertical="top" wrapText="1"/>
    </xf>
    <xf numFmtId="0" fontId="0" fillId="0"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90" customWidth="1" min="7" max="7"/>
  </cols>
  <sheetData>
    <row r="1" ht="30" customHeight="1">
      <c r="A1" s="1" t="inlineStr">
        <is>
          <t>FORGED — THE 4-DAY POWERBUILDER</t>
        </is>
      </c>
    </row>
    <row r="2" ht="18" customHeight="1">
      <c r="A2" s="2" t="inlineStr">
        <is>
          <t>Strength you keep. Muscle you build. Training you actually enjoy.  |  8-week repeatable cycle</t>
        </is>
      </c>
    </row>
    <row r="4">
      <c r="B4" s="3" t="inlineStr">
        <is>
          <t>YOUR CURRENT MAXES (edit these — every working weight in the program updates automatically)</t>
        </is>
      </c>
    </row>
    <row r="6">
      <c r="B6" s="4" t="inlineStr">
        <is>
          <t>Lift</t>
        </is>
      </c>
      <c r="C6" s="4" t="inlineStr">
        <is>
          <t>1RM (lbs)</t>
        </is>
      </c>
    </row>
    <row r="7">
      <c r="B7" s="5" t="inlineStr">
        <is>
          <t>Squat</t>
        </is>
      </c>
      <c r="C7" s="5" t="n">
        <v>445</v>
      </c>
    </row>
    <row r="8">
      <c r="B8" s="5" t="inlineStr">
        <is>
          <t>Bench Press</t>
        </is>
      </c>
      <c r="C8" s="5" t="n">
        <v>275</v>
      </c>
    </row>
    <row r="9">
      <c r="B9" s="5" t="inlineStr">
        <is>
          <t>Deadlift</t>
        </is>
      </c>
      <c r="C9" s="5" t="n">
        <v>515</v>
      </c>
    </row>
    <row r="11">
      <c r="B11" s="3" t="inlineStr">
        <is>
          <t>HOW TO USE THIS TRACKER</t>
        </is>
      </c>
    </row>
    <row r="12">
      <c r="B12" s="6" t="inlineStr">
        <is>
          <t>1.  Each Week tab is one full training week: Tuesday, Thursday, Saturday, Sunday.</t>
        </is>
      </c>
    </row>
    <row r="13">
      <c r="B13" s="6" t="inlineStr">
        <is>
          <t>2.  Main lifts (squat, bench, deadlift + variations) have one row PER SET — log weight, reps, RPE, and a note for every set.</t>
        </is>
      </c>
    </row>
    <row r="14">
      <c r="B14" s="6" t="inlineStr">
        <is>
          <t>3.  Target Weight is calculated from your maxes above and rounded to 5 lbs. RPE is the boss: if the % feels heavier than the target RPE, cut weight. If it's way easier, you may add 2.5-5%.</t>
        </is>
      </c>
    </row>
    <row r="15">
      <c r="B15" s="6" t="inlineStr">
        <is>
          <t>4.  Accessories use double progression: work within the rep range, and when you hit the top of the range on ALL sets, add weight next week. 'Your pick' means choose the load that hits the target RPE.</t>
        </is>
      </c>
    </row>
    <row r="16">
      <c r="B16" s="6" t="inlineStr">
        <is>
          <t>5.  Use the Set Notes column relentlessly — bar speed, pump quality, tweaks, cues that clicked. Next cycle, those notes are gold.</t>
        </is>
      </c>
    </row>
    <row r="17">
      <c r="B17" s="6" t="inlineStr">
        <is>
          <t>6.  Weeks 4 and 8 are deloads (tan rows). Do them. You grow when you recover.</t>
        </is>
      </c>
    </row>
    <row r="18">
      <c r="B18" s="6" t="inlineStr">
        <is>
          <t>7.  After Week 8: take Week 7's AMRAP/heavy single, estimate new maxes (see guide), update the table above, and run it again.</t>
        </is>
      </c>
    </row>
    <row r="19">
      <c r="B19" s="6" t="inlineStr">
        <is>
          <t>8.  Read PROGRAM-GUIDE.md — it explains every exercise, every choice, and every specialty technique in this program.</t>
        </is>
      </c>
    </row>
    <row r="22">
      <c r="B22" s="3" t="inlineStr">
        <is>
          <t>RPE CHEAT SHEET</t>
        </is>
      </c>
    </row>
    <row r="23">
      <c r="B23" s="4" t="inlineStr">
        <is>
          <t>RPE</t>
        </is>
      </c>
      <c r="C23" s="7" t="inlineStr">
        <is>
          <t>Meaning</t>
        </is>
      </c>
    </row>
    <row r="24">
      <c r="B24" s="5" t="inlineStr">
        <is>
          <t>6</t>
        </is>
      </c>
      <c r="C24" s="8" t="inlineStr">
        <is>
          <t>Comfortable — 4+ reps left in the tank. Speed work / deloads.</t>
        </is>
      </c>
    </row>
    <row r="25">
      <c r="B25" s="5" t="inlineStr">
        <is>
          <t>7</t>
        </is>
      </c>
      <c r="C25" s="8" t="inlineStr">
        <is>
          <t>Solid effort — 3 clean reps left. Bar moves fast.</t>
        </is>
      </c>
    </row>
    <row r="26">
      <c r="B26" s="5" t="inlineStr">
        <is>
          <t>7.5</t>
        </is>
      </c>
      <c r="C26" s="8" t="inlineStr">
        <is>
          <t>2-3 reps left.</t>
        </is>
      </c>
    </row>
    <row r="27">
      <c r="B27" s="5" t="inlineStr">
        <is>
          <t>8</t>
        </is>
      </c>
      <c r="C27" s="8" t="inlineStr">
        <is>
          <t>2 reps left. Bar slows a touch. The bread-and-butter training zone.</t>
        </is>
      </c>
    </row>
    <row r="28">
      <c r="B28" s="5" t="inlineStr">
        <is>
          <t>8.5</t>
        </is>
      </c>
      <c r="C28" s="8" t="inlineStr">
        <is>
          <t>1-2 reps left.</t>
        </is>
      </c>
    </row>
    <row r="29">
      <c r="B29" s="5" t="inlineStr">
        <is>
          <t>9</t>
        </is>
      </c>
      <c r="C29" s="8" t="inlineStr">
        <is>
          <t>1 rep left. Heavy. Only where programmed.</t>
        </is>
      </c>
    </row>
    <row r="30">
      <c r="B30" s="5" t="inlineStr">
        <is>
          <t>10</t>
        </is>
      </c>
      <c r="C30" s="8" t="inlineStr">
        <is>
          <t>Nothing left. NOT used in this program — save it for a platform that isn't coming. Build, don't test.</t>
        </is>
      </c>
    </row>
    <row r="33">
      <c r="B33" s="3" t="inlineStr">
        <is>
          <t>8-WEEK MAP</t>
        </is>
      </c>
    </row>
    <row r="34">
      <c r="B34" s="4" t="inlineStr">
        <is>
          <t>Week</t>
        </is>
      </c>
      <c r="C34" s="4" t="inlineStr">
        <is>
          <t>Block</t>
        </is>
      </c>
      <c r="D34" s="7" t="inlineStr">
        <is>
          <t>Main-lift focus</t>
        </is>
      </c>
    </row>
    <row r="35">
      <c r="B35" s="5" t="inlineStr">
        <is>
          <t>1-3</t>
        </is>
      </c>
      <c r="C35" s="5" t="inlineStr">
        <is>
          <t>Volume &amp; Movement Quality</t>
        </is>
      </c>
      <c r="D35" s="8" t="inlineStr">
        <is>
          <t>Sets of 5-6 @ 70-75%, RPE 7→8. Build work capacity and technique.</t>
        </is>
      </c>
    </row>
    <row r="36">
      <c r="B36" s="5" t="inlineStr">
        <is>
          <t>4</t>
        </is>
      </c>
      <c r="C36" s="5" t="inlineStr">
        <is>
          <t>DELOAD</t>
        </is>
      </c>
      <c r="D36" s="8" t="inlineStr">
        <is>
          <t>60% for easy 5s. Recover and grow.</t>
        </is>
      </c>
    </row>
    <row r="37">
      <c r="B37" s="5" t="inlineStr">
        <is>
          <t>5-7</t>
        </is>
      </c>
      <c r="C37" s="5" t="inlineStr">
        <is>
          <t>Strength Expression</t>
        </is>
      </c>
      <c r="D37" s="8" t="inlineStr">
        <is>
          <t>Sets of 3-4 @ 77.5-82.5%, RPE 7.5→8.5. Week 7: optional AMRAP / heavy single.</t>
        </is>
      </c>
    </row>
    <row r="38">
      <c r="B38" s="5" t="inlineStr">
        <is>
          <t>8</t>
        </is>
      </c>
      <c r="C38" s="5" t="inlineStr">
        <is>
          <t>DELOAD</t>
        </is>
      </c>
      <c r="D38" s="8" t="inlineStr">
        <is>
          <t>65% for easy 3s. Reset, update maxes, run it back.</t>
        </is>
      </c>
    </row>
  </sheetData>
  <mergeCells count="15">
    <mergeCell ref="C29:G29"/>
    <mergeCell ref="C30:G30"/>
    <mergeCell ref="A1:G1"/>
    <mergeCell ref="D35:G35"/>
    <mergeCell ref="C24:G24"/>
    <mergeCell ref="D36:G36"/>
    <mergeCell ref="C25:G25"/>
    <mergeCell ref="C28:G28"/>
    <mergeCell ref="C27:G27"/>
    <mergeCell ref="A2:G2"/>
    <mergeCell ref="D34:G34"/>
    <mergeCell ref="C23:G23"/>
    <mergeCell ref="D37:G37"/>
    <mergeCell ref="D38:G38"/>
    <mergeCell ref="C26:G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9" t="inlineStr">
        <is>
          <t>FORGED 4-DAY POWERBUILDER  —  WEEK 1   |   BLOCK 1: VOLUME &amp; MOVEMENT QUALITY</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1" t="inlineStr">
        <is>
          <t>Competition Squat</t>
        </is>
      </c>
      <c r="B4" s="12" t="inlineStr">
        <is>
          <t>1</t>
        </is>
      </c>
      <c r="C4" s="12" t="inlineStr">
        <is>
          <t>6</t>
        </is>
      </c>
      <c r="D4" s="12" t="inlineStr">
        <is>
          <t>70%</t>
        </is>
      </c>
      <c r="E4" s="12">
        <f>MROUND('Start Here'!$C$7*0.7,5)</f>
        <v/>
      </c>
      <c r="F4" s="12" t="inlineStr">
        <is>
          <t>7</t>
        </is>
      </c>
      <c r="G4" s="12" t="inlineStr">
        <is>
          <t>3-4 min</t>
        </is>
      </c>
      <c r="H4" s="8" t="inlineStr">
        <is>
          <t>Full comp setup every set: same walkout, same bracing. Big 360° breath, spread the floor, drive up through mid-foot. Treat every rep like a platform rep.</t>
        </is>
      </c>
      <c r="I4" s="12" t="inlineStr"/>
      <c r="J4" s="12" t="inlineStr"/>
      <c r="K4" s="12" t="inlineStr"/>
      <c r="L4" s="8" t="inlineStr"/>
    </row>
    <row r="5">
      <c r="A5" s="11" t="inlineStr"/>
      <c r="B5" s="12" t="inlineStr">
        <is>
          <t>2</t>
        </is>
      </c>
      <c r="C5" s="12" t="inlineStr">
        <is>
          <t>6</t>
        </is>
      </c>
      <c r="D5" s="12" t="inlineStr">
        <is>
          <t>70%</t>
        </is>
      </c>
      <c r="E5" s="12">
        <f>MROUND('Start Here'!$C$7*0.7,5)</f>
        <v/>
      </c>
      <c r="F5" s="12" t="inlineStr">
        <is>
          <t>7</t>
        </is>
      </c>
      <c r="G5" s="12" t="inlineStr">
        <is>
          <t>3-4 min</t>
        </is>
      </c>
      <c r="H5" s="13" t="n"/>
      <c r="I5" s="12" t="inlineStr"/>
      <c r="J5" s="12" t="inlineStr"/>
      <c r="K5" s="12" t="inlineStr"/>
      <c r="L5" s="8" t="inlineStr"/>
    </row>
    <row r="6">
      <c r="A6" s="11" t="inlineStr"/>
      <c r="B6" s="12" t="inlineStr">
        <is>
          <t>3</t>
        </is>
      </c>
      <c r="C6" s="12" t="inlineStr">
        <is>
          <t>6</t>
        </is>
      </c>
      <c r="D6" s="12" t="inlineStr">
        <is>
          <t>70%</t>
        </is>
      </c>
      <c r="E6" s="12">
        <f>MROUND('Start Here'!$C$7*0.7,5)</f>
        <v/>
      </c>
      <c r="F6" s="12" t="inlineStr">
        <is>
          <t>7</t>
        </is>
      </c>
      <c r="G6" s="12" t="inlineStr">
        <is>
          <t>3-4 min</t>
        </is>
      </c>
      <c r="H6" s="13" t="n"/>
      <c r="I6" s="12" t="inlineStr"/>
      <c r="J6" s="12" t="inlineStr"/>
      <c r="K6" s="12" t="inlineStr"/>
      <c r="L6" s="8" t="inlineStr"/>
    </row>
    <row r="7">
      <c r="A7" s="11" t="inlineStr"/>
      <c r="B7" s="12" t="inlineStr">
        <is>
          <t>4</t>
        </is>
      </c>
      <c r="C7" s="12" t="inlineStr">
        <is>
          <t>6</t>
        </is>
      </c>
      <c r="D7" s="12" t="inlineStr">
        <is>
          <t>70%</t>
        </is>
      </c>
      <c r="E7" s="12">
        <f>MROUND('Start Here'!$C$7*0.7,5)</f>
        <v/>
      </c>
      <c r="F7" s="12" t="inlineStr">
        <is>
          <t>7</t>
        </is>
      </c>
      <c r="G7" s="12" t="inlineStr">
        <is>
          <t>3-4 min</t>
        </is>
      </c>
      <c r="H7" s="14" t="n"/>
      <c r="I7" s="12" t="inlineStr"/>
      <c r="J7" s="12" t="inlineStr"/>
      <c r="K7" s="12" t="inlineStr"/>
      <c r="L7" s="8" t="inlineStr"/>
    </row>
    <row r="8" ht="42" customHeight="1">
      <c r="A8" s="15" t="inlineStr">
        <is>
          <t>Romanian Deadlift</t>
        </is>
      </c>
      <c r="B8" s="16" t="inlineStr">
        <is>
          <t>3</t>
        </is>
      </c>
      <c r="C8" s="16" t="inlineStr">
        <is>
          <t>8-10</t>
        </is>
      </c>
      <c r="D8" s="16" t="inlineStr">
        <is>
          <t>—</t>
        </is>
      </c>
      <c r="E8" s="16" t="inlineStr">
        <is>
          <t>Your pick</t>
        </is>
      </c>
      <c r="F8" s="16" t="inlineStr">
        <is>
          <t>7-8</t>
        </is>
      </c>
      <c r="G8" s="16" t="inlineStr">
        <is>
          <t>2-3 min</t>
        </is>
      </c>
      <c r="H8" s="17" t="inlineStr">
        <is>
          <t>Soft knees, push hips back until hamstrings scream, bar drags the thighs. Start ~185-225 and add when all sets hit 10. Feel the stretch — that's the growth signal.</t>
        </is>
      </c>
      <c r="I8" s="16" t="inlineStr"/>
      <c r="J8" s="16" t="inlineStr"/>
      <c r="K8" s="16" t="inlineStr"/>
      <c r="L8" s="17" t="inlineStr"/>
    </row>
    <row r="9" ht="42" customHeight="1">
      <c r="A9" s="11" t="inlineStr">
        <is>
          <t>Leg Press (feet low &amp; narrow)</t>
        </is>
      </c>
      <c r="B9" s="12" t="inlineStr">
        <is>
          <t>3</t>
        </is>
      </c>
      <c r="C9" s="12" t="inlineStr">
        <is>
          <t>10-12</t>
        </is>
      </c>
      <c r="D9" s="12" t="inlineStr">
        <is>
          <t>—</t>
        </is>
      </c>
      <c r="E9" s="12" t="inlineStr">
        <is>
          <t>Your pick</t>
        </is>
      </c>
      <c r="F9" s="12" t="inlineStr">
        <is>
          <t>8</t>
        </is>
      </c>
      <c r="G9" s="12" t="inlineStr">
        <is>
          <t>2 min</t>
        </is>
      </c>
      <c r="H9" s="8" t="inlineStr">
        <is>
          <t>Quad-bias stance. Full depth without butt tucking, 2-sec lowering. Drive knees over toes. Don't chase plates — chase the quad burn.</t>
        </is>
      </c>
      <c r="I9" s="12" t="inlineStr"/>
      <c r="J9" s="12" t="inlineStr"/>
      <c r="K9" s="12" t="inlineStr"/>
      <c r="L9" s="8" t="inlineStr"/>
    </row>
    <row r="10" ht="42" customHeight="1">
      <c r="A10" s="15" t="inlineStr">
        <is>
          <t>Seated Leg Curl</t>
        </is>
      </c>
      <c r="B10" s="16" t="inlineStr">
        <is>
          <t>3</t>
        </is>
      </c>
      <c r="C10" s="16" t="inlineStr">
        <is>
          <t>12-15</t>
        </is>
      </c>
      <c r="D10" s="16" t="inlineStr">
        <is>
          <t>—</t>
        </is>
      </c>
      <c r="E10" s="16" t="inlineStr">
        <is>
          <t>Your pick</t>
        </is>
      </c>
      <c r="F10" s="16" t="inlineStr">
        <is>
          <t>8-9</t>
        </is>
      </c>
      <c r="G10" s="16" t="inlineStr">
        <is>
          <t>90 sec</t>
        </is>
      </c>
      <c r="H10" s="17" t="inlineStr">
        <is>
          <t>Lean torso forward slightly for a longer hamstring stretch. Squeeze 1 sec at full flexion, 3-sec lowering.</t>
        </is>
      </c>
      <c r="I10" s="16" t="inlineStr"/>
      <c r="J10" s="16" t="inlineStr"/>
      <c r="K10" s="16" t="inlineStr"/>
      <c r="L10" s="17" t="inlineStr"/>
    </row>
    <row r="11" ht="42" customHeight="1">
      <c r="A11" s="11" t="inlineStr">
        <is>
          <t>Standing Calf Raise</t>
        </is>
      </c>
      <c r="B11" s="12" t="inlineStr">
        <is>
          <t>3</t>
        </is>
      </c>
      <c r="C11" s="12" t="inlineStr">
        <is>
          <t>10-12</t>
        </is>
      </c>
      <c r="D11" s="12" t="inlineStr">
        <is>
          <t>—</t>
        </is>
      </c>
      <c r="E11" s="12" t="inlineStr">
        <is>
          <t>Your pick</t>
        </is>
      </c>
      <c r="F11" s="12" t="inlineStr">
        <is>
          <t>8-9</t>
        </is>
      </c>
      <c r="G11" s="12" t="inlineStr">
        <is>
          <t>90 sec</t>
        </is>
      </c>
      <c r="H11" s="8" t="inlineStr">
        <is>
          <t>Full stretch at the bottom for a 2-count, drive through the big toe, pause at the top. No bouncing.</t>
        </is>
      </c>
      <c r="I11" s="12" t="inlineStr"/>
      <c r="J11" s="12" t="inlineStr"/>
      <c r="K11" s="12" t="inlineStr"/>
      <c r="L11" s="8" t="inlineStr"/>
    </row>
    <row r="12" ht="42" customHeight="1">
      <c r="A12" s="15" t="inlineStr">
        <is>
          <t>Cable Crunch</t>
        </is>
      </c>
      <c r="B12" s="16" t="inlineStr">
        <is>
          <t>3</t>
        </is>
      </c>
      <c r="C12" s="16" t="inlineStr">
        <is>
          <t>12-15</t>
        </is>
      </c>
      <c r="D12" s="16" t="inlineStr">
        <is>
          <t>—</t>
        </is>
      </c>
      <c r="E12" s="16" t="inlineStr">
        <is>
          <t>Your pick</t>
        </is>
      </c>
      <c r="F12" s="16" t="inlineStr">
        <is>
          <t>8</t>
        </is>
      </c>
      <c r="G12" s="16" t="inlineStr">
        <is>
          <t>60-90 sec</t>
        </is>
      </c>
      <c r="H12" s="17" t="inlineStr">
        <is>
          <t>Flex the spine — ribs to hips, don't just bow at the waist. Strong abs = strong squat brace.</t>
        </is>
      </c>
      <c r="I12" s="16" t="inlineStr"/>
      <c r="J12" s="16" t="inlineStr"/>
      <c r="K12" s="16" t="inlineStr"/>
      <c r="L12" s="17" t="inlineStr"/>
    </row>
    <row r="14" ht="20" customHeight="1">
      <c r="A14" s="10" t="inlineStr">
        <is>
          <t>THURSDAY — UPPER A: BENCH STRENGTH + BACK  (target: ≤85 min)</t>
        </is>
      </c>
    </row>
    <row r="15">
      <c r="A15" s="4" t="inlineStr">
        <is>
          <t>Exercise</t>
        </is>
      </c>
      <c r="B15" s="4" t="inlineStr">
        <is>
          <t>Set</t>
        </is>
      </c>
      <c r="C15" s="4" t="inlineStr">
        <is>
          <t>Target Reps</t>
        </is>
      </c>
      <c r="D15" s="4" t="inlineStr">
        <is>
          <t>%1RM</t>
        </is>
      </c>
      <c r="E15" s="4" t="inlineStr">
        <is>
          <t>Target Weight</t>
        </is>
      </c>
      <c r="F15" s="4" t="inlineStr">
        <is>
          <t>Target RPE</t>
        </is>
      </c>
      <c r="G15" s="4" t="inlineStr">
        <is>
          <t>Rest</t>
        </is>
      </c>
      <c r="H15" s="4" t="inlineStr">
        <is>
          <t>Coaching Cues / Special Instructions</t>
        </is>
      </c>
      <c r="I15" s="4" t="inlineStr">
        <is>
          <t>Actual Weight</t>
        </is>
      </c>
      <c r="J15" s="4" t="inlineStr">
        <is>
          <t>Actual Reps</t>
        </is>
      </c>
      <c r="K15" s="4" t="inlineStr">
        <is>
          <t>Actual RPE</t>
        </is>
      </c>
      <c r="L15" s="4" t="inlineStr">
        <is>
          <t>Set Notes (how it felt, bar speed, pump, tweaks)</t>
        </is>
      </c>
    </row>
    <row r="16">
      <c r="A16" s="11" t="inlineStr">
        <is>
          <t>Competition Bench</t>
        </is>
      </c>
      <c r="B16" s="12" t="inlineStr">
        <is>
          <t>1</t>
        </is>
      </c>
      <c r="C16" s="12" t="inlineStr">
        <is>
          <t>6</t>
        </is>
      </c>
      <c r="D16" s="12" t="inlineStr">
        <is>
          <t>70%</t>
        </is>
      </c>
      <c r="E16" s="12">
        <f>MROUND('Start Here'!$C$8*0.7,5)</f>
        <v/>
      </c>
      <c r="F16" s="12" t="inlineStr">
        <is>
          <t>7</t>
        </is>
      </c>
      <c r="G16" s="12" t="inlineStr">
        <is>
          <t>3-4 min</t>
        </is>
      </c>
      <c r="H16" s="8" t="inlineStr">
        <is>
          <t>Comp pause on every rep this day. Set your arch, pull the bar apart, tuck elbows ~45°, press back over your face. Leg drive on.</t>
        </is>
      </c>
      <c r="I16" s="12" t="inlineStr"/>
      <c r="J16" s="12" t="inlineStr"/>
      <c r="K16" s="12" t="inlineStr"/>
      <c r="L16" s="8" t="inlineStr"/>
    </row>
    <row r="17">
      <c r="A17" s="11" t="inlineStr"/>
      <c r="B17" s="12" t="inlineStr">
        <is>
          <t>2</t>
        </is>
      </c>
      <c r="C17" s="12" t="inlineStr">
        <is>
          <t>6</t>
        </is>
      </c>
      <c r="D17" s="12" t="inlineStr">
        <is>
          <t>70%</t>
        </is>
      </c>
      <c r="E17" s="12">
        <f>MROUND('Start Here'!$C$8*0.7,5)</f>
        <v/>
      </c>
      <c r="F17" s="12" t="inlineStr">
        <is>
          <t>7</t>
        </is>
      </c>
      <c r="G17" s="12" t="inlineStr">
        <is>
          <t>3-4 min</t>
        </is>
      </c>
      <c r="H17" s="13" t="n"/>
      <c r="I17" s="12" t="inlineStr"/>
      <c r="J17" s="12" t="inlineStr"/>
      <c r="K17" s="12" t="inlineStr"/>
      <c r="L17" s="8" t="inlineStr"/>
    </row>
    <row r="18">
      <c r="A18" s="11" t="inlineStr"/>
      <c r="B18" s="12" t="inlineStr">
        <is>
          <t>3</t>
        </is>
      </c>
      <c r="C18" s="12" t="inlineStr">
        <is>
          <t>6</t>
        </is>
      </c>
      <c r="D18" s="12" t="inlineStr">
        <is>
          <t>70%</t>
        </is>
      </c>
      <c r="E18" s="12">
        <f>MROUND('Start Here'!$C$8*0.7,5)</f>
        <v/>
      </c>
      <c r="F18" s="12" t="inlineStr">
        <is>
          <t>7</t>
        </is>
      </c>
      <c r="G18" s="12" t="inlineStr">
        <is>
          <t>3-4 min</t>
        </is>
      </c>
      <c r="H18" s="13" t="n"/>
      <c r="I18" s="12" t="inlineStr"/>
      <c r="J18" s="12" t="inlineStr"/>
      <c r="K18" s="12" t="inlineStr"/>
      <c r="L18" s="8" t="inlineStr"/>
    </row>
    <row r="19">
      <c r="A19" s="11" t="inlineStr"/>
      <c r="B19" s="12" t="inlineStr">
        <is>
          <t>4</t>
        </is>
      </c>
      <c r="C19" s="12" t="inlineStr">
        <is>
          <t>6</t>
        </is>
      </c>
      <c r="D19" s="12" t="inlineStr">
        <is>
          <t>70%</t>
        </is>
      </c>
      <c r="E19" s="12">
        <f>MROUND('Start Here'!$C$8*0.7,5)</f>
        <v/>
      </c>
      <c r="F19" s="12" t="inlineStr">
        <is>
          <t>7</t>
        </is>
      </c>
      <c r="G19" s="12" t="inlineStr">
        <is>
          <t>3-4 min</t>
        </is>
      </c>
      <c r="H19" s="14" t="n"/>
      <c r="I19" s="12" t="inlineStr"/>
      <c r="J19" s="12" t="inlineStr"/>
      <c r="K19" s="12" t="inlineStr"/>
      <c r="L19" s="8" t="inlineStr"/>
    </row>
    <row r="20" ht="42" customHeight="1">
      <c r="A20" s="15" t="inlineStr">
        <is>
          <t>Weighted Pull-Up</t>
        </is>
      </c>
      <c r="B20" s="16" t="inlineStr">
        <is>
          <t>4</t>
        </is>
      </c>
      <c r="C20" s="16" t="inlineStr">
        <is>
          <t>6-8</t>
        </is>
      </c>
      <c r="D20" s="16" t="inlineStr">
        <is>
          <t>—</t>
        </is>
      </c>
      <c r="E20" s="16" t="inlineStr">
        <is>
          <t>Your pick</t>
        </is>
      </c>
      <c r="F20" s="16" t="inlineStr">
        <is>
          <t>8</t>
        </is>
      </c>
      <c r="G20" s="16" t="inlineStr">
        <is>
          <t>2-3 min</t>
        </is>
      </c>
      <c r="H20" s="17" t="inlineStr">
        <is>
          <t>Add weight when you own 4x8 at bodyweight+. Dead hang start, drive elbows to hips, chest to bar. Lats build your bench arch and your V-taper.</t>
        </is>
      </c>
      <c r="I20" s="16" t="inlineStr"/>
      <c r="J20" s="16" t="inlineStr"/>
      <c r="K20" s="16" t="inlineStr"/>
      <c r="L20" s="17" t="inlineStr"/>
    </row>
    <row r="21" ht="42" customHeight="1">
      <c r="A21" s="11" t="inlineStr">
        <is>
          <t>Seated DB Shoulder Press</t>
        </is>
      </c>
      <c r="B21" s="12" t="inlineStr">
        <is>
          <t>3</t>
        </is>
      </c>
      <c r="C21" s="12" t="inlineStr">
        <is>
          <t>8-10</t>
        </is>
      </c>
      <c r="D21" s="12" t="inlineStr">
        <is>
          <t>—</t>
        </is>
      </c>
      <c r="E21" s="12" t="inlineStr">
        <is>
          <t>Your pick</t>
        </is>
      </c>
      <c r="F21" s="12" t="inlineStr">
        <is>
          <t>8</t>
        </is>
      </c>
      <c r="G21" s="12" t="inlineStr">
        <is>
          <t>2 min</t>
        </is>
      </c>
      <c r="H21" s="8" t="inlineStr">
        <is>
          <t>Slight back support, press up-and-in, stop just short of lockout to keep tension on delts. Start ~55-65s.</t>
        </is>
      </c>
      <c r="I21" s="12" t="inlineStr"/>
      <c r="J21" s="12" t="inlineStr"/>
      <c r="K21" s="12" t="inlineStr"/>
      <c r="L21" s="8" t="inlineStr"/>
    </row>
    <row r="22" ht="42" customHeight="1">
      <c r="A22" s="15" t="inlineStr">
        <is>
          <t>Chest-Supported Row</t>
        </is>
      </c>
      <c r="B22" s="16" t="inlineStr">
        <is>
          <t>3</t>
        </is>
      </c>
      <c r="C22" s="16" t="inlineStr">
        <is>
          <t>10-12</t>
        </is>
      </c>
      <c r="D22" s="16" t="inlineStr">
        <is>
          <t>—</t>
        </is>
      </c>
      <c r="E22" s="16" t="inlineStr">
        <is>
          <t>Your pick</t>
        </is>
      </c>
      <c r="F22" s="16" t="inlineStr">
        <is>
          <t>8</t>
        </is>
      </c>
      <c r="G22" s="16" t="inlineStr">
        <is>
          <t>90 sec</t>
        </is>
      </c>
      <c r="H22" s="17" t="inlineStr">
        <is>
          <t>Chest glued to pad — no cheating with body English. Pull to lower ribs, squeeze the shoulder blades for 1 sec.</t>
        </is>
      </c>
      <c r="I22" s="16" t="inlineStr"/>
      <c r="J22" s="16" t="inlineStr"/>
      <c r="K22" s="16" t="inlineStr"/>
      <c r="L22" s="17" t="inlineStr"/>
    </row>
    <row r="23" ht="42" customHeight="1">
      <c r="A23" s="11" t="inlineStr">
        <is>
          <t>SUPERSET: EZ-Bar Curl + Overhead Cable Extension</t>
        </is>
      </c>
      <c r="B23" s="12" t="inlineStr">
        <is>
          <t>3</t>
        </is>
      </c>
      <c r="C23" s="12" t="inlineStr">
        <is>
          <t>10-12 each</t>
        </is>
      </c>
      <c r="D23" s="12" t="inlineStr">
        <is>
          <t>—</t>
        </is>
      </c>
      <c r="E23" s="12" t="inlineStr">
        <is>
          <t>Your pick</t>
        </is>
      </c>
      <c r="F23" s="12" t="inlineStr">
        <is>
          <t>8</t>
        </is>
      </c>
      <c r="G23" s="12" t="inlineStr">
        <is>
          <t>90 sec after pair</t>
        </is>
      </c>
      <c r="H23" s="8" t="inlineStr">
        <is>
          <t>Curls: elbows pinned, no swing. Overhead extensions: full stretch behind head — long-head triceps grow from the stretch. Alternate exercises, rest after both.</t>
        </is>
      </c>
      <c r="I23" s="12" t="inlineStr"/>
      <c r="J23" s="12" t="inlineStr"/>
      <c r="K23" s="12" t="inlineStr"/>
      <c r="L23" s="8" t="inlineStr"/>
    </row>
    <row r="24" ht="42" customHeight="1">
      <c r="A24" s="15" t="inlineStr">
        <is>
          <t>Face Pull</t>
        </is>
      </c>
      <c r="B24" s="16" t="inlineStr">
        <is>
          <t>3</t>
        </is>
      </c>
      <c r="C24" s="16" t="inlineStr">
        <is>
          <t>15-20</t>
        </is>
      </c>
      <c r="D24" s="16" t="inlineStr">
        <is>
          <t>—</t>
        </is>
      </c>
      <c r="E24" s="16" t="inlineStr">
        <is>
          <t>Your pick</t>
        </is>
      </c>
      <c r="F24" s="16" t="inlineStr">
        <is>
          <t>8</t>
        </is>
      </c>
      <c r="G24" s="16" t="inlineStr">
        <is>
          <t>60 sec</t>
        </is>
      </c>
      <c r="H24" s="17" t="inlineStr">
        <is>
          <t>Rope to forehead, thumbs back, external rotate at the end. Shoulder insurance — never skip these.</t>
        </is>
      </c>
      <c r="I24" s="16" t="inlineStr"/>
      <c r="J24" s="16" t="inlineStr"/>
      <c r="K24" s="16" t="inlineStr"/>
      <c r="L24" s="17" t="inlineStr"/>
    </row>
    <row r="26" ht="20" customHeight="1">
      <c r="A26" s="10" t="inlineStr">
        <is>
          <t>SATURDAY — LOWER B: DEADLIFT + ATHLETIC LOWER  (long session — take your time)</t>
        </is>
      </c>
    </row>
    <row r="27">
      <c r="A27" s="4" t="inlineStr">
        <is>
          <t>Exercise</t>
        </is>
      </c>
      <c r="B27" s="4" t="inlineStr">
        <is>
          <t>Set</t>
        </is>
      </c>
      <c r="C27" s="4" t="inlineStr">
        <is>
          <t>Target Reps</t>
        </is>
      </c>
      <c r="D27" s="4" t="inlineStr">
        <is>
          <t>%1RM</t>
        </is>
      </c>
      <c r="E27" s="4" t="inlineStr">
        <is>
          <t>Target Weight</t>
        </is>
      </c>
      <c r="F27" s="4" t="inlineStr">
        <is>
          <t>Target RPE</t>
        </is>
      </c>
      <c r="G27" s="4" t="inlineStr">
        <is>
          <t>Rest</t>
        </is>
      </c>
      <c r="H27" s="4" t="inlineStr">
        <is>
          <t>Coaching Cues / Special Instructions</t>
        </is>
      </c>
      <c r="I27" s="4" t="inlineStr">
        <is>
          <t>Actual Weight</t>
        </is>
      </c>
      <c r="J27" s="4" t="inlineStr">
        <is>
          <t>Actual Reps</t>
        </is>
      </c>
      <c r="K27" s="4" t="inlineStr">
        <is>
          <t>Actual RPE</t>
        </is>
      </c>
      <c r="L27" s="4" t="inlineStr">
        <is>
          <t>Set Notes (how it felt, bar speed, pump, tweaks)</t>
        </is>
      </c>
    </row>
    <row r="28">
      <c r="A28" s="11" t="inlineStr">
        <is>
          <t>Deadlift</t>
        </is>
      </c>
      <c r="B28" s="12" t="inlineStr">
        <is>
          <t>1</t>
        </is>
      </c>
      <c r="C28" s="12" t="inlineStr">
        <is>
          <t>5</t>
        </is>
      </c>
      <c r="D28" s="12" t="inlineStr">
        <is>
          <t>70%</t>
        </is>
      </c>
      <c r="E28" s="12">
        <f>MROUND('Start Here'!$C$9*0.7,5)</f>
        <v/>
      </c>
      <c r="F28" s="12" t="inlineStr">
        <is>
          <t>7</t>
        </is>
      </c>
      <c r="G28" s="12" t="inlineStr">
        <is>
          <t>3-4 min</t>
        </is>
      </c>
      <c r="H28" s="8" t="inlineStr">
        <is>
          <t>Wedge hard, pull the slack out until the bar clicks, push the floor away. Hips and shoulders rise together. Reset every rep — no touch-and-go here.</t>
        </is>
      </c>
      <c r="I28" s="12" t="inlineStr"/>
      <c r="J28" s="12" t="inlineStr"/>
      <c r="K28" s="12" t="inlineStr"/>
      <c r="L28" s="8" t="inlineStr"/>
    </row>
    <row r="29">
      <c r="A29" s="11" t="inlineStr"/>
      <c r="B29" s="12" t="inlineStr">
        <is>
          <t>2</t>
        </is>
      </c>
      <c r="C29" s="12" t="inlineStr">
        <is>
          <t>5</t>
        </is>
      </c>
      <c r="D29" s="12" t="inlineStr">
        <is>
          <t>70%</t>
        </is>
      </c>
      <c r="E29" s="12">
        <f>MROUND('Start Here'!$C$9*0.7,5)</f>
        <v/>
      </c>
      <c r="F29" s="12" t="inlineStr">
        <is>
          <t>7</t>
        </is>
      </c>
      <c r="G29" s="12" t="inlineStr">
        <is>
          <t>3-4 min</t>
        </is>
      </c>
      <c r="H29" s="13" t="n"/>
      <c r="I29" s="12" t="inlineStr"/>
      <c r="J29" s="12" t="inlineStr"/>
      <c r="K29" s="12" t="inlineStr"/>
      <c r="L29" s="8" t="inlineStr"/>
    </row>
    <row r="30">
      <c r="A30" s="11" t="inlineStr"/>
      <c r="B30" s="12" t="inlineStr">
        <is>
          <t>3</t>
        </is>
      </c>
      <c r="C30" s="12" t="inlineStr">
        <is>
          <t>5</t>
        </is>
      </c>
      <c r="D30" s="12" t="inlineStr">
        <is>
          <t>70%</t>
        </is>
      </c>
      <c r="E30" s="12">
        <f>MROUND('Start Here'!$C$9*0.7,5)</f>
        <v/>
      </c>
      <c r="F30" s="12" t="inlineStr">
        <is>
          <t>7</t>
        </is>
      </c>
      <c r="G30" s="12" t="inlineStr">
        <is>
          <t>3-4 min</t>
        </is>
      </c>
      <c r="H30" s="14" t="n"/>
      <c r="I30" s="12" t="inlineStr"/>
      <c r="J30" s="12" t="inlineStr"/>
      <c r="K30" s="12" t="inlineStr"/>
      <c r="L30" s="8" t="inlineStr"/>
    </row>
    <row r="31">
      <c r="A31" s="11" t="inlineStr">
        <is>
          <t>Paused Squat (2-ct)</t>
        </is>
      </c>
      <c r="B31" s="12" t="inlineStr">
        <is>
          <t>1</t>
        </is>
      </c>
      <c r="C31" s="12" t="inlineStr">
        <is>
          <t>5</t>
        </is>
      </c>
      <c r="D31" s="12" t="inlineStr">
        <is>
          <t>62.5%</t>
        </is>
      </c>
      <c r="E31" s="12">
        <f>MROUND('Start Here'!$C$7*0.625,5)</f>
        <v/>
      </c>
      <c r="F31" s="12" t="inlineStr">
        <is>
          <t>7</t>
        </is>
      </c>
      <c r="G31" s="12" t="inlineStr">
        <is>
          <t>3-4 min</t>
        </is>
      </c>
      <c r="H31" s="8" t="inlineStr">
        <is>
          <t>2-second dead-stop in the hole, stay braced and upright, no bounce. Builds bottom-position strength and quad size. Own the pause — don't rush it.</t>
        </is>
      </c>
      <c r="I31" s="12" t="inlineStr"/>
      <c r="J31" s="12" t="inlineStr"/>
      <c r="K31" s="12" t="inlineStr"/>
      <c r="L31" s="8" t="inlineStr"/>
    </row>
    <row r="32">
      <c r="A32" s="11" t="inlineStr"/>
      <c r="B32" s="12" t="inlineStr">
        <is>
          <t>2</t>
        </is>
      </c>
      <c r="C32" s="12" t="inlineStr">
        <is>
          <t>5</t>
        </is>
      </c>
      <c r="D32" s="12" t="inlineStr">
        <is>
          <t>62.5%</t>
        </is>
      </c>
      <c r="E32" s="12">
        <f>MROUND('Start Here'!$C$7*0.625,5)</f>
        <v/>
      </c>
      <c r="F32" s="12" t="inlineStr">
        <is>
          <t>7</t>
        </is>
      </c>
      <c r="G32" s="12" t="inlineStr">
        <is>
          <t>3-4 min</t>
        </is>
      </c>
      <c r="H32" s="13" t="n"/>
      <c r="I32" s="12" t="inlineStr"/>
      <c r="J32" s="12" t="inlineStr"/>
      <c r="K32" s="12" t="inlineStr"/>
      <c r="L32" s="8" t="inlineStr"/>
    </row>
    <row r="33">
      <c r="A33" s="11" t="inlineStr"/>
      <c r="B33" s="12" t="inlineStr">
        <is>
          <t>3</t>
        </is>
      </c>
      <c r="C33" s="12" t="inlineStr">
        <is>
          <t>5</t>
        </is>
      </c>
      <c r="D33" s="12" t="inlineStr">
        <is>
          <t>62.5%</t>
        </is>
      </c>
      <c r="E33" s="12">
        <f>MROUND('Start Here'!$C$7*0.625,5)</f>
        <v/>
      </c>
      <c r="F33" s="12" t="inlineStr">
        <is>
          <t>7</t>
        </is>
      </c>
      <c r="G33" s="12" t="inlineStr">
        <is>
          <t>3-4 min</t>
        </is>
      </c>
      <c r="H33" s="14" t="n"/>
      <c r="I33" s="12" t="inlineStr"/>
      <c r="J33" s="12" t="inlineStr"/>
      <c r="K33" s="12" t="inlineStr"/>
      <c r="L33" s="8" t="inlineStr"/>
    </row>
    <row r="34" ht="42" customHeight="1">
      <c r="A34" s="15" t="inlineStr">
        <is>
          <t>Bulgarian Split Squat</t>
        </is>
      </c>
      <c r="B34" s="16" t="inlineStr">
        <is>
          <t>3</t>
        </is>
      </c>
      <c r="C34" s="16" t="inlineStr">
        <is>
          <t>8-10 /leg</t>
        </is>
      </c>
      <c r="D34" s="16" t="inlineStr">
        <is>
          <t>—</t>
        </is>
      </c>
      <c r="E34" s="16" t="inlineStr">
        <is>
          <t>Your pick</t>
        </is>
      </c>
      <c r="F34" s="16" t="inlineStr">
        <is>
          <t>8</t>
        </is>
      </c>
      <c r="G34" s="16" t="inlineStr">
        <is>
          <t>2 min</t>
        </is>
      </c>
      <c r="H34" s="17" t="inlineStr">
        <is>
          <t>Rear foot elevated, slight forward lean for glutes, upright for quads — pick your target. This is your athleticism builder: balance, single-leg strength, hip stability. Start with 40-50 lb DBs.</t>
        </is>
      </c>
      <c r="I34" s="16" t="inlineStr"/>
      <c r="J34" s="16" t="inlineStr"/>
      <c r="K34" s="16" t="inlineStr"/>
      <c r="L34" s="17" t="inlineStr"/>
    </row>
    <row r="35" ht="42" customHeight="1">
      <c r="A35" s="11" t="inlineStr">
        <is>
          <t>Back Extension (glute bias)</t>
        </is>
      </c>
      <c r="B35" s="12" t="inlineStr">
        <is>
          <t>3</t>
        </is>
      </c>
      <c r="C35" s="12" t="inlineStr">
        <is>
          <t>12-15</t>
        </is>
      </c>
      <c r="D35" s="12" t="inlineStr">
        <is>
          <t>—</t>
        </is>
      </c>
      <c r="E35" s="12" t="inlineStr">
        <is>
          <t>Your pick</t>
        </is>
      </c>
      <c r="F35" s="12" t="inlineStr">
        <is>
          <t>8-9</t>
        </is>
      </c>
      <c r="G35" s="12" t="inlineStr">
        <is>
          <t>90 sec</t>
        </is>
      </c>
      <c r="H35" s="8" t="inlineStr">
        <is>
          <t>Round upper back slightly, tuck chin, squeeze glutes to lift — don't hyperextend the spine. Hold a plate when 15 gets easy.</t>
        </is>
      </c>
      <c r="I35" s="12" t="inlineStr"/>
      <c r="J35" s="12" t="inlineStr"/>
      <c r="K35" s="12" t="inlineStr"/>
      <c r="L35" s="8" t="inlineStr"/>
    </row>
    <row r="36" ht="42" customHeight="1">
      <c r="A36" s="15" t="inlineStr">
        <is>
          <t>Walking DB Lunge</t>
        </is>
      </c>
      <c r="B36" s="16" t="inlineStr">
        <is>
          <t>2</t>
        </is>
      </c>
      <c r="C36" s="16" t="inlineStr">
        <is>
          <t>20 steps</t>
        </is>
      </c>
      <c r="D36" s="16" t="inlineStr">
        <is>
          <t>—</t>
        </is>
      </c>
      <c r="E36" s="16" t="inlineStr">
        <is>
          <t>Your pick</t>
        </is>
      </c>
      <c r="F36" s="16" t="inlineStr">
        <is>
          <t>8</t>
        </is>
      </c>
      <c r="G36" s="16" t="inlineStr">
        <is>
          <t>2 min</t>
        </is>
      </c>
      <c r="H36" s="17" t="inlineStr">
        <is>
          <t>Long strides, soft knee touch, continuous walking. Brutal and athletic. Light DBs are plenty after everything else.</t>
        </is>
      </c>
      <c r="I36" s="16" t="inlineStr"/>
      <c r="J36" s="16" t="inlineStr"/>
      <c r="K36" s="16" t="inlineStr"/>
      <c r="L36" s="17" t="inlineStr"/>
    </row>
    <row r="37" ht="42" customHeight="1">
      <c r="A37" s="11" t="inlineStr">
        <is>
          <t>Seated Calf Raise</t>
        </is>
      </c>
      <c r="B37" s="12" t="inlineStr">
        <is>
          <t>4</t>
        </is>
      </c>
      <c r="C37" s="12" t="inlineStr">
        <is>
          <t>12-15</t>
        </is>
      </c>
      <c r="D37" s="12" t="inlineStr">
        <is>
          <t>—</t>
        </is>
      </c>
      <c r="E37" s="12" t="inlineStr">
        <is>
          <t>Your pick</t>
        </is>
      </c>
      <c r="F37" s="12" t="inlineStr">
        <is>
          <t>8-9</t>
        </is>
      </c>
      <c r="G37" s="12" t="inlineStr">
        <is>
          <t>60-90 sec</t>
        </is>
      </c>
      <c r="H37" s="8" t="inlineStr">
        <is>
          <t>Soleus focus. Slow 3-sec negative, deep stretch, pause at top.</t>
        </is>
      </c>
      <c r="I37" s="12" t="inlineStr"/>
      <c r="J37" s="12" t="inlineStr"/>
      <c r="K37" s="12" t="inlineStr"/>
      <c r="L37" s="8" t="inlineStr"/>
    </row>
    <row r="38" ht="42" customHeight="1">
      <c r="A38" s="15" t="inlineStr">
        <is>
          <t>Hanging Leg Raise</t>
        </is>
      </c>
      <c r="B38" s="16" t="inlineStr">
        <is>
          <t>3</t>
        </is>
      </c>
      <c r="C38" s="16" t="inlineStr">
        <is>
          <t>10-15</t>
        </is>
      </c>
      <c r="D38" s="16" t="inlineStr">
        <is>
          <t>—</t>
        </is>
      </c>
      <c r="E38" s="16" t="inlineStr">
        <is>
          <t>Your pick</t>
        </is>
      </c>
      <c r="F38" s="16" t="inlineStr">
        <is>
          <t>8</t>
        </is>
      </c>
      <c r="G38" s="16" t="inlineStr">
        <is>
          <t>90 sec</t>
        </is>
      </c>
      <c r="H38" s="17" t="inlineStr">
        <is>
          <t>Posterior pelvic tilt at the top — curl the pelvis up, don't just swing the legs. Bend knees if needed.</t>
        </is>
      </c>
      <c r="I38" s="16" t="inlineStr"/>
      <c r="J38" s="16" t="inlineStr"/>
      <c r="K38" s="16" t="inlineStr"/>
      <c r="L38" s="17" t="inlineStr"/>
    </row>
    <row r="40" ht="20" customHeight="1">
      <c r="A40" s="10" t="inlineStr">
        <is>
          <t>SUNDAY — UPPER B: VOLUME BENCH + PUMP DAY  (long session — chase the pump)</t>
        </is>
      </c>
    </row>
    <row r="41">
      <c r="A41" s="4" t="inlineStr">
        <is>
          <t>Exercise</t>
        </is>
      </c>
      <c r="B41" s="4" t="inlineStr">
        <is>
          <t>Set</t>
        </is>
      </c>
      <c r="C41" s="4" t="inlineStr">
        <is>
          <t>Target Reps</t>
        </is>
      </c>
      <c r="D41" s="4" t="inlineStr">
        <is>
          <t>%1RM</t>
        </is>
      </c>
      <c r="E41" s="4" t="inlineStr">
        <is>
          <t>Target Weight</t>
        </is>
      </c>
      <c r="F41" s="4" t="inlineStr">
        <is>
          <t>Target RPE</t>
        </is>
      </c>
      <c r="G41" s="4" t="inlineStr">
        <is>
          <t>Rest</t>
        </is>
      </c>
      <c r="H41" s="4" t="inlineStr">
        <is>
          <t>Coaching Cues / Special Instructions</t>
        </is>
      </c>
      <c r="I41" s="4" t="inlineStr">
        <is>
          <t>Actual Weight</t>
        </is>
      </c>
      <c r="J41" s="4" t="inlineStr">
        <is>
          <t>Actual Reps</t>
        </is>
      </c>
      <c r="K41" s="4" t="inlineStr">
        <is>
          <t>Actual RPE</t>
        </is>
      </c>
      <c r="L41" s="4" t="inlineStr">
        <is>
          <t>Set Notes (how it felt, bar speed, pump, tweaks)</t>
        </is>
      </c>
    </row>
    <row r="42">
      <c r="A42" s="11" t="inlineStr">
        <is>
          <t>Touch-and-Go Bench</t>
        </is>
      </c>
      <c r="B42" s="12" t="inlineStr">
        <is>
          <t>1</t>
        </is>
      </c>
      <c r="C42" s="12" t="inlineStr">
        <is>
          <t>8</t>
        </is>
      </c>
      <c r="D42" s="12" t="inlineStr">
        <is>
          <t>65%</t>
        </is>
      </c>
      <c r="E42" s="12">
        <f>MROUND('Start Here'!$C$8*0.65,5)</f>
        <v/>
      </c>
      <c r="F42" s="12" t="inlineStr">
        <is>
          <t>7-8</t>
        </is>
      </c>
      <c r="G42" s="12" t="inlineStr">
        <is>
          <t>3-4 min</t>
        </is>
      </c>
      <c r="H42" s="8" t="inlineStr">
        <is>
          <t>Smooth touch, no bounce off the chest. Slight tuck, squeeze pecs hard at lockout each rep. This is a muscle set, not a strength test — chase the pec pump.</t>
        </is>
      </c>
      <c r="I42" s="12" t="inlineStr"/>
      <c r="J42" s="12" t="inlineStr"/>
      <c r="K42" s="12" t="inlineStr"/>
      <c r="L42" s="8" t="inlineStr"/>
    </row>
    <row r="43">
      <c r="A43" s="11" t="inlineStr"/>
      <c r="B43" s="12" t="inlineStr">
        <is>
          <t>2</t>
        </is>
      </c>
      <c r="C43" s="12" t="inlineStr">
        <is>
          <t>8</t>
        </is>
      </c>
      <c r="D43" s="12" t="inlineStr">
        <is>
          <t>65%</t>
        </is>
      </c>
      <c r="E43" s="12">
        <f>MROUND('Start Here'!$C$8*0.65,5)</f>
        <v/>
      </c>
      <c r="F43" s="12" t="inlineStr">
        <is>
          <t>7-8</t>
        </is>
      </c>
      <c r="G43" s="12" t="inlineStr">
        <is>
          <t>3-4 min</t>
        </is>
      </c>
      <c r="H43" s="13" t="n"/>
      <c r="I43" s="12" t="inlineStr"/>
      <c r="J43" s="12" t="inlineStr"/>
      <c r="K43" s="12" t="inlineStr"/>
      <c r="L43" s="8" t="inlineStr"/>
    </row>
    <row r="44">
      <c r="A44" s="11" t="inlineStr"/>
      <c r="B44" s="12" t="inlineStr">
        <is>
          <t>3</t>
        </is>
      </c>
      <c r="C44" s="12" t="inlineStr">
        <is>
          <t>8</t>
        </is>
      </c>
      <c r="D44" s="12" t="inlineStr">
        <is>
          <t>65%</t>
        </is>
      </c>
      <c r="E44" s="12">
        <f>MROUND('Start Here'!$C$8*0.65,5)</f>
        <v/>
      </c>
      <c r="F44" s="12" t="inlineStr">
        <is>
          <t>7-8</t>
        </is>
      </c>
      <c r="G44" s="12" t="inlineStr">
        <is>
          <t>3-4 min</t>
        </is>
      </c>
      <c r="H44" s="13" t="n"/>
      <c r="I44" s="12" t="inlineStr"/>
      <c r="J44" s="12" t="inlineStr"/>
      <c r="K44" s="12" t="inlineStr"/>
      <c r="L44" s="8" t="inlineStr"/>
    </row>
    <row r="45">
      <c r="A45" s="11" t="inlineStr"/>
      <c r="B45" s="12" t="inlineStr">
        <is>
          <t>4</t>
        </is>
      </c>
      <c r="C45" s="12" t="inlineStr">
        <is>
          <t>8</t>
        </is>
      </c>
      <c r="D45" s="12" t="inlineStr">
        <is>
          <t>65%</t>
        </is>
      </c>
      <c r="E45" s="12">
        <f>MROUND('Start Here'!$C$8*0.65,5)</f>
        <v/>
      </c>
      <c r="F45" s="12" t="inlineStr">
        <is>
          <t>7-8</t>
        </is>
      </c>
      <c r="G45" s="12" t="inlineStr">
        <is>
          <t>3-4 min</t>
        </is>
      </c>
      <c r="H45" s="14" t="n"/>
      <c r="I45" s="12" t="inlineStr"/>
      <c r="J45" s="12" t="inlineStr"/>
      <c r="K45" s="12" t="inlineStr"/>
      <c r="L45" s="8" t="inlineStr"/>
    </row>
    <row r="46" ht="42" customHeight="1">
      <c r="A46" s="15" t="inlineStr">
        <is>
          <t>Incline DB Press (30°)</t>
        </is>
      </c>
      <c r="B46" s="16" t="inlineStr">
        <is>
          <t>3</t>
        </is>
      </c>
      <c r="C46" s="16" t="inlineStr">
        <is>
          <t>10-12</t>
        </is>
      </c>
      <c r="D46" s="16" t="inlineStr">
        <is>
          <t>—</t>
        </is>
      </c>
      <c r="E46" s="16" t="inlineStr">
        <is>
          <t>Your pick</t>
        </is>
      </c>
      <c r="F46" s="16" t="inlineStr">
        <is>
          <t>8</t>
        </is>
      </c>
      <c r="G46" s="16" t="inlineStr">
        <is>
          <t>2 min</t>
        </is>
      </c>
      <c r="H46" s="17" t="inlineStr">
        <is>
          <t>Deep stretch at the bottom, press up-and-in, squeeze upper pecs at top. Don't touch the DBs together hard — keep tension. Start ~75-85s.</t>
        </is>
      </c>
      <c r="I46" s="16" t="inlineStr"/>
      <c r="J46" s="16" t="inlineStr"/>
      <c r="K46" s="16" t="inlineStr"/>
      <c r="L46" s="17" t="inlineStr"/>
    </row>
    <row r="47" ht="42" customHeight="1">
      <c r="A47" s="11" t="inlineStr">
        <is>
          <t>Lat Pulldown (neutral wide)</t>
        </is>
      </c>
      <c r="B47" s="12" t="inlineStr">
        <is>
          <t>4</t>
        </is>
      </c>
      <c r="C47" s="12" t="inlineStr">
        <is>
          <t>10-12</t>
        </is>
      </c>
      <c r="D47" s="12" t="inlineStr">
        <is>
          <t>—</t>
        </is>
      </c>
      <c r="E47" s="12" t="inlineStr">
        <is>
          <t>Your pick</t>
        </is>
      </c>
      <c r="F47" s="12" t="inlineStr">
        <is>
          <t>8</t>
        </is>
      </c>
      <c r="G47" s="12" t="inlineStr">
        <is>
          <t>90 sec</t>
        </is>
      </c>
      <c r="H47" s="8" t="inlineStr">
        <is>
          <t>Drive elbows down and back, pause 1 sec at the chest, 3-sec controlled return. Think 'elbows in back pockets' — feel the lats, not the arms.</t>
        </is>
      </c>
      <c r="I47" s="12" t="inlineStr"/>
      <c r="J47" s="12" t="inlineStr"/>
      <c r="K47" s="12" t="inlineStr"/>
      <c r="L47" s="8" t="inlineStr"/>
    </row>
    <row r="48" ht="42" customHeight="1">
      <c r="A48" s="15" t="inlineStr">
        <is>
          <t>Single-Arm Cable Row</t>
        </is>
      </c>
      <c r="B48" s="16" t="inlineStr">
        <is>
          <t>3</t>
        </is>
      </c>
      <c r="C48" s="16" t="inlineStr">
        <is>
          <t>10-12 /arm</t>
        </is>
      </c>
      <c r="D48" s="16" t="inlineStr">
        <is>
          <t>—</t>
        </is>
      </c>
      <c r="E48" s="16" t="inlineStr">
        <is>
          <t>Your pick</t>
        </is>
      </c>
      <c r="F48" s="16" t="inlineStr">
        <is>
          <t>8</t>
        </is>
      </c>
      <c r="G48" s="16" t="inlineStr">
        <is>
          <t>90 sec</t>
        </is>
      </c>
      <c r="H48" s="17" t="inlineStr">
        <is>
          <t>Allow a full stretch and slight rotation forward, then row and squeeze. One side at a time = maximum mind-muscle connection.</t>
        </is>
      </c>
      <c r="I48" s="16" t="inlineStr"/>
      <c r="J48" s="16" t="inlineStr"/>
      <c r="K48" s="16" t="inlineStr"/>
      <c r="L48" s="17" t="inlineStr"/>
    </row>
    <row r="49" ht="42" customHeight="1">
      <c r="A49" s="11" t="inlineStr">
        <is>
          <t>DB Lateral Raise</t>
        </is>
      </c>
      <c r="B49" s="12" t="inlineStr">
        <is>
          <t>4</t>
        </is>
      </c>
      <c r="C49" s="12" t="inlineStr">
        <is>
          <t>12-15</t>
        </is>
      </c>
      <c r="D49" s="12" t="inlineStr">
        <is>
          <t>—</t>
        </is>
      </c>
      <c r="E49" s="12" t="inlineStr">
        <is>
          <t>Your pick</t>
        </is>
      </c>
      <c r="F49" s="12" t="inlineStr">
        <is>
          <t>9</t>
        </is>
      </c>
      <c r="G49" s="12" t="inlineStr">
        <is>
          <t>60-75 sec</t>
        </is>
      </c>
      <c r="H49" s="8" t="inlineStr">
        <is>
          <t>Lead with the elbows, tilt pinkies slightly up, stop at shoulder height. Weeks 3 &amp; 7: drop-set the last set (drop ~40%, rep to near-failure). Side delts make you look athletic in a t-shirt.</t>
        </is>
      </c>
      <c r="I49" s="12" t="inlineStr"/>
      <c r="J49" s="12" t="inlineStr"/>
      <c r="K49" s="12" t="inlineStr"/>
      <c r="L49" s="8" t="inlineStr"/>
    </row>
    <row r="50" ht="42" customHeight="1">
      <c r="A50" s="15" t="inlineStr">
        <is>
          <t>Cable Fly (low-to-high or pec deck)</t>
        </is>
      </c>
      <c r="B50" s="16" t="inlineStr">
        <is>
          <t>3</t>
        </is>
      </c>
      <c r="C50" s="16" t="inlineStr">
        <is>
          <t>12-15</t>
        </is>
      </c>
      <c r="D50" s="16" t="inlineStr">
        <is>
          <t>—</t>
        </is>
      </c>
      <c r="E50" s="16" t="inlineStr">
        <is>
          <t>Your pick</t>
        </is>
      </c>
      <c r="F50" s="16" t="inlineStr">
        <is>
          <t>8-9</t>
        </is>
      </c>
      <c r="G50" s="16" t="inlineStr">
        <is>
          <t>60-90 sec</t>
        </is>
      </c>
      <c r="H50" s="17" t="inlineStr">
        <is>
          <t>Big stretch, hug a barrel, squeeze pecs together for a 1-count. Pure pump work — moderate weight, perfect reps.</t>
        </is>
      </c>
      <c r="I50" s="16" t="inlineStr"/>
      <c r="J50" s="16" t="inlineStr"/>
      <c r="K50" s="16" t="inlineStr"/>
      <c r="L50" s="17" t="inlineStr"/>
    </row>
    <row r="51" ht="42" customHeight="1">
      <c r="A51" s="11" t="inlineStr">
        <is>
          <t>SUPERSET: Incline DB Curl + Lying DB Skullcrusher</t>
        </is>
      </c>
      <c r="B51" s="12" t="inlineStr">
        <is>
          <t>3</t>
        </is>
      </c>
      <c r="C51" s="12" t="inlineStr">
        <is>
          <t>10-12 each</t>
        </is>
      </c>
      <c r="D51" s="12" t="inlineStr">
        <is>
          <t>—</t>
        </is>
      </c>
      <c r="E51" s="12" t="inlineStr">
        <is>
          <t>Your pick</t>
        </is>
      </c>
      <c r="F51" s="12" t="inlineStr">
        <is>
          <t>8-9</t>
        </is>
      </c>
      <c r="G51" s="12" t="inlineStr">
        <is>
          <t>90 sec after pair</t>
        </is>
      </c>
      <c r="H51" s="8" t="inlineStr">
        <is>
          <t>Incline curls: full stretch at the bottom, biceps long-head heaven. Skullcrushers: lower behind the head slightly for more stretch.</t>
        </is>
      </c>
      <c r="I51" s="12" t="inlineStr"/>
      <c r="J51" s="12" t="inlineStr"/>
      <c r="K51" s="12" t="inlineStr"/>
      <c r="L51" s="8" t="inlineStr"/>
    </row>
    <row r="52" ht="42" customHeight="1">
      <c r="A52" s="15" t="inlineStr">
        <is>
          <t>SUPERSET: Hammer Curl + Rope Pressdown</t>
        </is>
      </c>
      <c r="B52" s="16" t="inlineStr">
        <is>
          <t>2</t>
        </is>
      </c>
      <c r="C52" s="16" t="inlineStr">
        <is>
          <t>12-15 each</t>
        </is>
      </c>
      <c r="D52" s="16" t="inlineStr">
        <is>
          <t>—</t>
        </is>
      </c>
      <c r="E52" s="16" t="inlineStr">
        <is>
          <t>Your pick</t>
        </is>
      </c>
      <c r="F52" s="16" t="inlineStr">
        <is>
          <t>9</t>
        </is>
      </c>
      <c r="G52" s="16" t="inlineStr">
        <is>
          <t>60 sec after pair</t>
        </is>
      </c>
      <c r="H52" s="17" t="inlineStr">
        <is>
          <t>Finisher — chase the arm pump. Strict form, short rests, walk out with sleeves tight.</t>
        </is>
      </c>
      <c r="I52" s="16" t="inlineStr"/>
      <c r="J52" s="16" t="inlineStr"/>
      <c r="K52" s="16" t="inlineStr"/>
      <c r="L52" s="17" t="inlineStr"/>
    </row>
    <row r="53" ht="42" customHeight="1">
      <c r="A53" s="11" t="inlineStr">
        <is>
          <t>Reverse Pec Deck (rear delts)</t>
        </is>
      </c>
      <c r="B53" s="12" t="inlineStr">
        <is>
          <t>3</t>
        </is>
      </c>
      <c r="C53" s="12" t="inlineStr">
        <is>
          <t>15-20</t>
        </is>
      </c>
      <c r="D53" s="12" t="inlineStr">
        <is>
          <t>—</t>
        </is>
      </c>
      <c r="E53" s="12" t="inlineStr">
        <is>
          <t>Your pick</t>
        </is>
      </c>
      <c r="F53" s="12" t="inlineStr">
        <is>
          <t>8-9</t>
        </is>
      </c>
      <c r="G53" s="12" t="inlineStr">
        <is>
          <t>60 sec</t>
        </is>
      </c>
      <c r="H53" s="8" t="inlineStr">
        <is>
          <t>Lead with elbows out, don't squeeze shoulder blades — keep it in the rear delts. Posture, shoulder health, 3-D delts.</t>
        </is>
      </c>
      <c r="I53" s="12" t="inlineStr"/>
      <c r="J53" s="12" t="inlineStr"/>
      <c r="K53" s="12" t="inlineStr"/>
      <c r="L53" s="8" t="inlineStr"/>
    </row>
  </sheetData>
  <mergeCells count="10">
    <mergeCell ref="A26:L26"/>
    <mergeCell ref="A2:L2"/>
    <mergeCell ref="H4:H7"/>
    <mergeCell ref="A1:L1"/>
    <mergeCell ref="H16:H19"/>
    <mergeCell ref="A14:L14"/>
    <mergeCell ref="H42:H45"/>
    <mergeCell ref="H28:H30"/>
    <mergeCell ref="A40:L40"/>
    <mergeCell ref="H31:H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9" t="inlineStr">
        <is>
          <t>FORGED 4-DAY POWERBUILDER  —  WEEK 2   |   BLOCK 1: VOLUME &amp; MOVEMENT QUALITY</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1" t="inlineStr">
        <is>
          <t>Competition Squat</t>
        </is>
      </c>
      <c r="B4" s="12" t="inlineStr">
        <is>
          <t>1</t>
        </is>
      </c>
      <c r="C4" s="12" t="inlineStr">
        <is>
          <t>6</t>
        </is>
      </c>
      <c r="D4" s="12" t="inlineStr">
        <is>
          <t>72.5%</t>
        </is>
      </c>
      <c r="E4" s="12">
        <f>MROUND('Start Here'!$C$7*0.725,5)</f>
        <v/>
      </c>
      <c r="F4" s="12" t="inlineStr">
        <is>
          <t>7.5</t>
        </is>
      </c>
      <c r="G4" s="12" t="inlineStr">
        <is>
          <t>3-4 min</t>
        </is>
      </c>
      <c r="H4" s="8" t="inlineStr">
        <is>
          <t>Full comp setup every set: same walkout, same bracing. Big 360° breath, spread the floor, drive up through mid-foot. Treat every rep like a platform rep.</t>
        </is>
      </c>
      <c r="I4" s="12" t="inlineStr"/>
      <c r="J4" s="12" t="inlineStr"/>
      <c r="K4" s="12" t="inlineStr"/>
      <c r="L4" s="8" t="inlineStr"/>
    </row>
    <row r="5">
      <c r="A5" s="11" t="inlineStr"/>
      <c r="B5" s="12" t="inlineStr">
        <is>
          <t>2</t>
        </is>
      </c>
      <c r="C5" s="12" t="inlineStr">
        <is>
          <t>6</t>
        </is>
      </c>
      <c r="D5" s="12" t="inlineStr">
        <is>
          <t>72.5%</t>
        </is>
      </c>
      <c r="E5" s="12">
        <f>MROUND('Start Here'!$C$7*0.725,5)</f>
        <v/>
      </c>
      <c r="F5" s="12" t="inlineStr">
        <is>
          <t>7.5</t>
        </is>
      </c>
      <c r="G5" s="12" t="inlineStr">
        <is>
          <t>3-4 min</t>
        </is>
      </c>
      <c r="H5" s="13" t="n"/>
      <c r="I5" s="12" t="inlineStr"/>
      <c r="J5" s="12" t="inlineStr"/>
      <c r="K5" s="12" t="inlineStr"/>
      <c r="L5" s="8" t="inlineStr"/>
    </row>
    <row r="6">
      <c r="A6" s="11" t="inlineStr"/>
      <c r="B6" s="12" t="inlineStr">
        <is>
          <t>3</t>
        </is>
      </c>
      <c r="C6" s="12" t="inlineStr">
        <is>
          <t>6</t>
        </is>
      </c>
      <c r="D6" s="12" t="inlineStr">
        <is>
          <t>72.5%</t>
        </is>
      </c>
      <c r="E6" s="12">
        <f>MROUND('Start Here'!$C$7*0.725,5)</f>
        <v/>
      </c>
      <c r="F6" s="12" t="inlineStr">
        <is>
          <t>7.5</t>
        </is>
      </c>
      <c r="G6" s="12" t="inlineStr">
        <is>
          <t>3-4 min</t>
        </is>
      </c>
      <c r="H6" s="13" t="n"/>
      <c r="I6" s="12" t="inlineStr"/>
      <c r="J6" s="12" t="inlineStr"/>
      <c r="K6" s="12" t="inlineStr"/>
      <c r="L6" s="8" t="inlineStr"/>
    </row>
    <row r="7">
      <c r="A7" s="11" t="inlineStr"/>
      <c r="B7" s="12" t="inlineStr">
        <is>
          <t>4</t>
        </is>
      </c>
      <c r="C7" s="12" t="inlineStr">
        <is>
          <t>6</t>
        </is>
      </c>
      <c r="D7" s="12" t="inlineStr">
        <is>
          <t>72.5%</t>
        </is>
      </c>
      <c r="E7" s="12">
        <f>MROUND('Start Here'!$C$7*0.725,5)</f>
        <v/>
      </c>
      <c r="F7" s="12" t="inlineStr">
        <is>
          <t>7.5</t>
        </is>
      </c>
      <c r="G7" s="12" t="inlineStr">
        <is>
          <t>3-4 min</t>
        </is>
      </c>
      <c r="H7" s="14" t="n"/>
      <c r="I7" s="12" t="inlineStr"/>
      <c r="J7" s="12" t="inlineStr"/>
      <c r="K7" s="12" t="inlineStr"/>
      <c r="L7" s="8" t="inlineStr"/>
    </row>
    <row r="8" ht="42" customHeight="1">
      <c r="A8" s="15" t="inlineStr">
        <is>
          <t>Romanian Deadlift</t>
        </is>
      </c>
      <c r="B8" s="16" t="inlineStr">
        <is>
          <t>3</t>
        </is>
      </c>
      <c r="C8" s="16" t="inlineStr">
        <is>
          <t>8-10</t>
        </is>
      </c>
      <c r="D8" s="16" t="inlineStr">
        <is>
          <t>—</t>
        </is>
      </c>
      <c r="E8" s="16" t="inlineStr">
        <is>
          <t>Your pick</t>
        </is>
      </c>
      <c r="F8" s="16" t="inlineStr">
        <is>
          <t>7-8</t>
        </is>
      </c>
      <c r="G8" s="16" t="inlineStr">
        <is>
          <t>2-3 min</t>
        </is>
      </c>
      <c r="H8" s="17" t="inlineStr">
        <is>
          <t>Soft knees, push hips back until hamstrings scream, bar drags the thighs. Start ~185-225 and add when all sets hit 10. Feel the stretch — that's the growth signal.</t>
        </is>
      </c>
      <c r="I8" s="16" t="inlineStr"/>
      <c r="J8" s="16" t="inlineStr"/>
      <c r="K8" s="16" t="inlineStr"/>
      <c r="L8" s="17" t="inlineStr"/>
    </row>
    <row r="9" ht="42" customHeight="1">
      <c r="A9" s="11" t="inlineStr">
        <is>
          <t>Leg Press (feet low &amp; narrow)</t>
        </is>
      </c>
      <c r="B9" s="12" t="inlineStr">
        <is>
          <t>3</t>
        </is>
      </c>
      <c r="C9" s="12" t="inlineStr">
        <is>
          <t>10-12</t>
        </is>
      </c>
      <c r="D9" s="12" t="inlineStr">
        <is>
          <t>—</t>
        </is>
      </c>
      <c r="E9" s="12" t="inlineStr">
        <is>
          <t>Your pick</t>
        </is>
      </c>
      <c r="F9" s="12" t="inlineStr">
        <is>
          <t>8</t>
        </is>
      </c>
      <c r="G9" s="12" t="inlineStr">
        <is>
          <t>2 min</t>
        </is>
      </c>
      <c r="H9" s="8" t="inlineStr">
        <is>
          <t>Quad-bias stance. Full depth without butt tucking, 2-sec lowering. Drive knees over toes. Don't chase plates — chase the quad burn.</t>
        </is>
      </c>
      <c r="I9" s="12" t="inlineStr"/>
      <c r="J9" s="12" t="inlineStr"/>
      <c r="K9" s="12" t="inlineStr"/>
      <c r="L9" s="8" t="inlineStr"/>
    </row>
    <row r="10" ht="42" customHeight="1">
      <c r="A10" s="15" t="inlineStr">
        <is>
          <t>Seated Leg Curl</t>
        </is>
      </c>
      <c r="B10" s="16" t="inlineStr">
        <is>
          <t>3</t>
        </is>
      </c>
      <c r="C10" s="16" t="inlineStr">
        <is>
          <t>12-15</t>
        </is>
      </c>
      <c r="D10" s="16" t="inlineStr">
        <is>
          <t>—</t>
        </is>
      </c>
      <c r="E10" s="16" t="inlineStr">
        <is>
          <t>Your pick</t>
        </is>
      </c>
      <c r="F10" s="16" t="inlineStr">
        <is>
          <t>8-9</t>
        </is>
      </c>
      <c r="G10" s="16" t="inlineStr">
        <is>
          <t>90 sec</t>
        </is>
      </c>
      <c r="H10" s="17" t="inlineStr">
        <is>
          <t>Lean torso forward slightly for a longer hamstring stretch. Squeeze 1 sec at full flexion, 3-sec lowering.</t>
        </is>
      </c>
      <c r="I10" s="16" t="inlineStr"/>
      <c r="J10" s="16" t="inlineStr"/>
      <c r="K10" s="16" t="inlineStr"/>
      <c r="L10" s="17" t="inlineStr"/>
    </row>
    <row r="11" ht="42" customHeight="1">
      <c r="A11" s="11" t="inlineStr">
        <is>
          <t>Standing Calf Raise</t>
        </is>
      </c>
      <c r="B11" s="12" t="inlineStr">
        <is>
          <t>3</t>
        </is>
      </c>
      <c r="C11" s="12" t="inlineStr">
        <is>
          <t>10-12</t>
        </is>
      </c>
      <c r="D11" s="12" t="inlineStr">
        <is>
          <t>—</t>
        </is>
      </c>
      <c r="E11" s="12" t="inlineStr">
        <is>
          <t>Your pick</t>
        </is>
      </c>
      <c r="F11" s="12" t="inlineStr">
        <is>
          <t>8-9</t>
        </is>
      </c>
      <c r="G11" s="12" t="inlineStr">
        <is>
          <t>90 sec</t>
        </is>
      </c>
      <c r="H11" s="8" t="inlineStr">
        <is>
          <t>Full stretch at the bottom for a 2-count, drive through the big toe, pause at the top. No bouncing.</t>
        </is>
      </c>
      <c r="I11" s="12" t="inlineStr"/>
      <c r="J11" s="12" t="inlineStr"/>
      <c r="K11" s="12" t="inlineStr"/>
      <c r="L11" s="8" t="inlineStr"/>
    </row>
    <row r="12" ht="42" customHeight="1">
      <c r="A12" s="15" t="inlineStr">
        <is>
          <t>Cable Crunch</t>
        </is>
      </c>
      <c r="B12" s="16" t="inlineStr">
        <is>
          <t>3</t>
        </is>
      </c>
      <c r="C12" s="16" t="inlineStr">
        <is>
          <t>12-15</t>
        </is>
      </c>
      <c r="D12" s="16" t="inlineStr">
        <is>
          <t>—</t>
        </is>
      </c>
      <c r="E12" s="16" t="inlineStr">
        <is>
          <t>Your pick</t>
        </is>
      </c>
      <c r="F12" s="16" t="inlineStr">
        <is>
          <t>8</t>
        </is>
      </c>
      <c r="G12" s="16" t="inlineStr">
        <is>
          <t>60-90 sec</t>
        </is>
      </c>
      <c r="H12" s="17" t="inlineStr">
        <is>
          <t>Flex the spine — ribs to hips, don't just bow at the waist. Strong abs = strong squat brace.</t>
        </is>
      </c>
      <c r="I12" s="16" t="inlineStr"/>
      <c r="J12" s="16" t="inlineStr"/>
      <c r="K12" s="16" t="inlineStr"/>
      <c r="L12" s="17" t="inlineStr"/>
    </row>
    <row r="14" ht="20" customHeight="1">
      <c r="A14" s="10" t="inlineStr">
        <is>
          <t>THURSDAY — UPPER A: BENCH STRENGTH + BACK  (target: ≤85 min)</t>
        </is>
      </c>
    </row>
    <row r="15">
      <c r="A15" s="4" t="inlineStr">
        <is>
          <t>Exercise</t>
        </is>
      </c>
      <c r="B15" s="4" t="inlineStr">
        <is>
          <t>Set</t>
        </is>
      </c>
      <c r="C15" s="4" t="inlineStr">
        <is>
          <t>Target Reps</t>
        </is>
      </c>
      <c r="D15" s="4" t="inlineStr">
        <is>
          <t>%1RM</t>
        </is>
      </c>
      <c r="E15" s="4" t="inlineStr">
        <is>
          <t>Target Weight</t>
        </is>
      </c>
      <c r="F15" s="4" t="inlineStr">
        <is>
          <t>Target RPE</t>
        </is>
      </c>
      <c r="G15" s="4" t="inlineStr">
        <is>
          <t>Rest</t>
        </is>
      </c>
      <c r="H15" s="4" t="inlineStr">
        <is>
          <t>Coaching Cues / Special Instructions</t>
        </is>
      </c>
      <c r="I15" s="4" t="inlineStr">
        <is>
          <t>Actual Weight</t>
        </is>
      </c>
      <c r="J15" s="4" t="inlineStr">
        <is>
          <t>Actual Reps</t>
        </is>
      </c>
      <c r="K15" s="4" t="inlineStr">
        <is>
          <t>Actual RPE</t>
        </is>
      </c>
      <c r="L15" s="4" t="inlineStr">
        <is>
          <t>Set Notes (how it felt, bar speed, pump, tweaks)</t>
        </is>
      </c>
    </row>
    <row r="16">
      <c r="A16" s="11" t="inlineStr">
        <is>
          <t>Competition Bench</t>
        </is>
      </c>
      <c r="B16" s="12" t="inlineStr">
        <is>
          <t>1</t>
        </is>
      </c>
      <c r="C16" s="12" t="inlineStr">
        <is>
          <t>6</t>
        </is>
      </c>
      <c r="D16" s="12" t="inlineStr">
        <is>
          <t>72.5%</t>
        </is>
      </c>
      <c r="E16" s="12">
        <f>MROUND('Start Here'!$C$8*0.725,5)</f>
        <v/>
      </c>
      <c r="F16" s="12" t="inlineStr">
        <is>
          <t>7.5</t>
        </is>
      </c>
      <c r="G16" s="12" t="inlineStr">
        <is>
          <t>3-4 min</t>
        </is>
      </c>
      <c r="H16" s="8" t="inlineStr">
        <is>
          <t>Comp pause on every rep this day. Set your arch, pull the bar apart, tuck elbows ~45°, press back over your face. Leg drive on.</t>
        </is>
      </c>
      <c r="I16" s="12" t="inlineStr"/>
      <c r="J16" s="12" t="inlineStr"/>
      <c r="K16" s="12" t="inlineStr"/>
      <c r="L16" s="8" t="inlineStr"/>
    </row>
    <row r="17">
      <c r="A17" s="11" t="inlineStr"/>
      <c r="B17" s="12" t="inlineStr">
        <is>
          <t>2</t>
        </is>
      </c>
      <c r="C17" s="12" t="inlineStr">
        <is>
          <t>6</t>
        </is>
      </c>
      <c r="D17" s="12" t="inlineStr">
        <is>
          <t>72.5%</t>
        </is>
      </c>
      <c r="E17" s="12">
        <f>MROUND('Start Here'!$C$8*0.725,5)</f>
        <v/>
      </c>
      <c r="F17" s="12" t="inlineStr">
        <is>
          <t>7.5</t>
        </is>
      </c>
      <c r="G17" s="12" t="inlineStr">
        <is>
          <t>3-4 min</t>
        </is>
      </c>
      <c r="H17" s="13" t="n"/>
      <c r="I17" s="12" t="inlineStr"/>
      <c r="J17" s="12" t="inlineStr"/>
      <c r="K17" s="12" t="inlineStr"/>
      <c r="L17" s="8" t="inlineStr"/>
    </row>
    <row r="18">
      <c r="A18" s="11" t="inlineStr"/>
      <c r="B18" s="12" t="inlineStr">
        <is>
          <t>3</t>
        </is>
      </c>
      <c r="C18" s="12" t="inlineStr">
        <is>
          <t>6</t>
        </is>
      </c>
      <c r="D18" s="12" t="inlineStr">
        <is>
          <t>72.5%</t>
        </is>
      </c>
      <c r="E18" s="12">
        <f>MROUND('Start Here'!$C$8*0.725,5)</f>
        <v/>
      </c>
      <c r="F18" s="12" t="inlineStr">
        <is>
          <t>7.5</t>
        </is>
      </c>
      <c r="G18" s="12" t="inlineStr">
        <is>
          <t>3-4 min</t>
        </is>
      </c>
      <c r="H18" s="13" t="n"/>
      <c r="I18" s="12" t="inlineStr"/>
      <c r="J18" s="12" t="inlineStr"/>
      <c r="K18" s="12" t="inlineStr"/>
      <c r="L18" s="8" t="inlineStr"/>
    </row>
    <row r="19">
      <c r="A19" s="11" t="inlineStr"/>
      <c r="B19" s="12" t="inlineStr">
        <is>
          <t>4</t>
        </is>
      </c>
      <c r="C19" s="12" t="inlineStr">
        <is>
          <t>6</t>
        </is>
      </c>
      <c r="D19" s="12" t="inlineStr">
        <is>
          <t>72.5%</t>
        </is>
      </c>
      <c r="E19" s="12">
        <f>MROUND('Start Here'!$C$8*0.725,5)</f>
        <v/>
      </c>
      <c r="F19" s="12" t="inlineStr">
        <is>
          <t>7.5</t>
        </is>
      </c>
      <c r="G19" s="12" t="inlineStr">
        <is>
          <t>3-4 min</t>
        </is>
      </c>
      <c r="H19" s="14" t="n"/>
      <c r="I19" s="12" t="inlineStr"/>
      <c r="J19" s="12" t="inlineStr"/>
      <c r="K19" s="12" t="inlineStr"/>
      <c r="L19" s="8" t="inlineStr"/>
    </row>
    <row r="20" ht="42" customHeight="1">
      <c r="A20" s="15" t="inlineStr">
        <is>
          <t>Weighted Pull-Up</t>
        </is>
      </c>
      <c r="B20" s="16" t="inlineStr">
        <is>
          <t>4</t>
        </is>
      </c>
      <c r="C20" s="16" t="inlineStr">
        <is>
          <t>6-8</t>
        </is>
      </c>
      <c r="D20" s="16" t="inlineStr">
        <is>
          <t>—</t>
        </is>
      </c>
      <c r="E20" s="16" t="inlineStr">
        <is>
          <t>Your pick</t>
        </is>
      </c>
      <c r="F20" s="16" t="inlineStr">
        <is>
          <t>8</t>
        </is>
      </c>
      <c r="G20" s="16" t="inlineStr">
        <is>
          <t>2-3 min</t>
        </is>
      </c>
      <c r="H20" s="17" t="inlineStr">
        <is>
          <t>Add weight when you own 4x8 at bodyweight+. Dead hang start, drive elbows to hips, chest to bar. Lats build your bench arch and your V-taper.</t>
        </is>
      </c>
      <c r="I20" s="16" t="inlineStr"/>
      <c r="J20" s="16" t="inlineStr"/>
      <c r="K20" s="16" t="inlineStr"/>
      <c r="L20" s="17" t="inlineStr"/>
    </row>
    <row r="21" ht="42" customHeight="1">
      <c r="A21" s="11" t="inlineStr">
        <is>
          <t>Seated DB Shoulder Press</t>
        </is>
      </c>
      <c r="B21" s="12" t="inlineStr">
        <is>
          <t>3</t>
        </is>
      </c>
      <c r="C21" s="12" t="inlineStr">
        <is>
          <t>8-10</t>
        </is>
      </c>
      <c r="D21" s="12" t="inlineStr">
        <is>
          <t>—</t>
        </is>
      </c>
      <c r="E21" s="12" t="inlineStr">
        <is>
          <t>Your pick</t>
        </is>
      </c>
      <c r="F21" s="12" t="inlineStr">
        <is>
          <t>8</t>
        </is>
      </c>
      <c r="G21" s="12" t="inlineStr">
        <is>
          <t>2 min</t>
        </is>
      </c>
      <c r="H21" s="8" t="inlineStr">
        <is>
          <t>Slight back support, press up-and-in, stop just short of lockout to keep tension on delts. Start ~55-65s.</t>
        </is>
      </c>
      <c r="I21" s="12" t="inlineStr"/>
      <c r="J21" s="12" t="inlineStr"/>
      <c r="K21" s="12" t="inlineStr"/>
      <c r="L21" s="8" t="inlineStr"/>
    </row>
    <row r="22" ht="42" customHeight="1">
      <c r="A22" s="15" t="inlineStr">
        <is>
          <t>Chest-Supported Row</t>
        </is>
      </c>
      <c r="B22" s="16" t="inlineStr">
        <is>
          <t>3</t>
        </is>
      </c>
      <c r="C22" s="16" t="inlineStr">
        <is>
          <t>10-12</t>
        </is>
      </c>
      <c r="D22" s="16" t="inlineStr">
        <is>
          <t>—</t>
        </is>
      </c>
      <c r="E22" s="16" t="inlineStr">
        <is>
          <t>Your pick</t>
        </is>
      </c>
      <c r="F22" s="16" t="inlineStr">
        <is>
          <t>8</t>
        </is>
      </c>
      <c r="G22" s="16" t="inlineStr">
        <is>
          <t>90 sec</t>
        </is>
      </c>
      <c r="H22" s="17" t="inlineStr">
        <is>
          <t>Chest glued to pad — no cheating with body English. Pull to lower ribs, squeeze the shoulder blades for 1 sec.</t>
        </is>
      </c>
      <c r="I22" s="16" t="inlineStr"/>
      <c r="J22" s="16" t="inlineStr"/>
      <c r="K22" s="16" t="inlineStr"/>
      <c r="L22" s="17" t="inlineStr"/>
    </row>
    <row r="23" ht="42" customHeight="1">
      <c r="A23" s="11" t="inlineStr">
        <is>
          <t>SUPERSET: EZ-Bar Curl + Overhead Cable Extension</t>
        </is>
      </c>
      <c r="B23" s="12" t="inlineStr">
        <is>
          <t>3</t>
        </is>
      </c>
      <c r="C23" s="12" t="inlineStr">
        <is>
          <t>10-12 each</t>
        </is>
      </c>
      <c r="D23" s="12" t="inlineStr">
        <is>
          <t>—</t>
        </is>
      </c>
      <c r="E23" s="12" t="inlineStr">
        <is>
          <t>Your pick</t>
        </is>
      </c>
      <c r="F23" s="12" t="inlineStr">
        <is>
          <t>8</t>
        </is>
      </c>
      <c r="G23" s="12" t="inlineStr">
        <is>
          <t>90 sec after pair</t>
        </is>
      </c>
      <c r="H23" s="8" t="inlineStr">
        <is>
          <t>Curls: elbows pinned, no swing. Overhead extensions: full stretch behind head — long-head triceps grow from the stretch. Alternate exercises, rest after both.</t>
        </is>
      </c>
      <c r="I23" s="12" t="inlineStr"/>
      <c r="J23" s="12" t="inlineStr"/>
      <c r="K23" s="12" t="inlineStr"/>
      <c r="L23" s="8" t="inlineStr"/>
    </row>
    <row r="24" ht="42" customHeight="1">
      <c r="A24" s="15" t="inlineStr">
        <is>
          <t>Face Pull</t>
        </is>
      </c>
      <c r="B24" s="16" t="inlineStr">
        <is>
          <t>3</t>
        </is>
      </c>
      <c r="C24" s="16" t="inlineStr">
        <is>
          <t>15-20</t>
        </is>
      </c>
      <c r="D24" s="16" t="inlineStr">
        <is>
          <t>—</t>
        </is>
      </c>
      <c r="E24" s="16" t="inlineStr">
        <is>
          <t>Your pick</t>
        </is>
      </c>
      <c r="F24" s="16" t="inlineStr">
        <is>
          <t>8</t>
        </is>
      </c>
      <c r="G24" s="16" t="inlineStr">
        <is>
          <t>60 sec</t>
        </is>
      </c>
      <c r="H24" s="17" t="inlineStr">
        <is>
          <t>Rope to forehead, thumbs back, external rotate at the end. Shoulder insurance — never skip these.</t>
        </is>
      </c>
      <c r="I24" s="16" t="inlineStr"/>
      <c r="J24" s="16" t="inlineStr"/>
      <c r="K24" s="16" t="inlineStr"/>
      <c r="L24" s="17" t="inlineStr"/>
    </row>
    <row r="26" ht="20" customHeight="1">
      <c r="A26" s="10" t="inlineStr">
        <is>
          <t>SATURDAY — LOWER B: DEADLIFT + ATHLETIC LOWER  (long session — take your time)</t>
        </is>
      </c>
    </row>
    <row r="27">
      <c r="A27" s="4" t="inlineStr">
        <is>
          <t>Exercise</t>
        </is>
      </c>
      <c r="B27" s="4" t="inlineStr">
        <is>
          <t>Set</t>
        </is>
      </c>
      <c r="C27" s="4" t="inlineStr">
        <is>
          <t>Target Reps</t>
        </is>
      </c>
      <c r="D27" s="4" t="inlineStr">
        <is>
          <t>%1RM</t>
        </is>
      </c>
      <c r="E27" s="4" t="inlineStr">
        <is>
          <t>Target Weight</t>
        </is>
      </c>
      <c r="F27" s="4" t="inlineStr">
        <is>
          <t>Target RPE</t>
        </is>
      </c>
      <c r="G27" s="4" t="inlineStr">
        <is>
          <t>Rest</t>
        </is>
      </c>
      <c r="H27" s="4" t="inlineStr">
        <is>
          <t>Coaching Cues / Special Instructions</t>
        </is>
      </c>
      <c r="I27" s="4" t="inlineStr">
        <is>
          <t>Actual Weight</t>
        </is>
      </c>
      <c r="J27" s="4" t="inlineStr">
        <is>
          <t>Actual Reps</t>
        </is>
      </c>
      <c r="K27" s="4" t="inlineStr">
        <is>
          <t>Actual RPE</t>
        </is>
      </c>
      <c r="L27" s="4" t="inlineStr">
        <is>
          <t>Set Notes (how it felt, bar speed, pump, tweaks)</t>
        </is>
      </c>
    </row>
    <row r="28">
      <c r="A28" s="11" t="inlineStr">
        <is>
          <t>Deadlift</t>
        </is>
      </c>
      <c r="B28" s="12" t="inlineStr">
        <is>
          <t>1</t>
        </is>
      </c>
      <c r="C28" s="12" t="inlineStr">
        <is>
          <t>5</t>
        </is>
      </c>
      <c r="D28" s="12" t="inlineStr">
        <is>
          <t>72.5%</t>
        </is>
      </c>
      <c r="E28" s="12">
        <f>MROUND('Start Here'!$C$9*0.725,5)</f>
        <v/>
      </c>
      <c r="F28" s="12" t="inlineStr">
        <is>
          <t>7.5</t>
        </is>
      </c>
      <c r="G28" s="12" t="inlineStr">
        <is>
          <t>3-4 min</t>
        </is>
      </c>
      <c r="H28" s="8" t="inlineStr">
        <is>
          <t>Wedge hard, pull the slack out until the bar clicks, push the floor away. Hips and shoulders rise together. Reset every rep — no touch-and-go here.</t>
        </is>
      </c>
      <c r="I28" s="12" t="inlineStr"/>
      <c r="J28" s="12" t="inlineStr"/>
      <c r="K28" s="12" t="inlineStr"/>
      <c r="L28" s="8" t="inlineStr"/>
    </row>
    <row r="29">
      <c r="A29" s="11" t="inlineStr"/>
      <c r="B29" s="12" t="inlineStr">
        <is>
          <t>2</t>
        </is>
      </c>
      <c r="C29" s="12" t="inlineStr">
        <is>
          <t>5</t>
        </is>
      </c>
      <c r="D29" s="12" t="inlineStr">
        <is>
          <t>72.5%</t>
        </is>
      </c>
      <c r="E29" s="12">
        <f>MROUND('Start Here'!$C$9*0.725,5)</f>
        <v/>
      </c>
      <c r="F29" s="12" t="inlineStr">
        <is>
          <t>7.5</t>
        </is>
      </c>
      <c r="G29" s="12" t="inlineStr">
        <is>
          <t>3-4 min</t>
        </is>
      </c>
      <c r="H29" s="13" t="n"/>
      <c r="I29" s="12" t="inlineStr"/>
      <c r="J29" s="12" t="inlineStr"/>
      <c r="K29" s="12" t="inlineStr"/>
      <c r="L29" s="8" t="inlineStr"/>
    </row>
    <row r="30">
      <c r="A30" s="11" t="inlineStr"/>
      <c r="B30" s="12" t="inlineStr">
        <is>
          <t>3</t>
        </is>
      </c>
      <c r="C30" s="12" t="inlineStr">
        <is>
          <t>5</t>
        </is>
      </c>
      <c r="D30" s="12" t="inlineStr">
        <is>
          <t>72.5%</t>
        </is>
      </c>
      <c r="E30" s="12">
        <f>MROUND('Start Here'!$C$9*0.725,5)</f>
        <v/>
      </c>
      <c r="F30" s="12" t="inlineStr">
        <is>
          <t>7.5</t>
        </is>
      </c>
      <c r="G30" s="12" t="inlineStr">
        <is>
          <t>3-4 min</t>
        </is>
      </c>
      <c r="H30" s="14" t="n"/>
      <c r="I30" s="12" t="inlineStr"/>
      <c r="J30" s="12" t="inlineStr"/>
      <c r="K30" s="12" t="inlineStr"/>
      <c r="L30" s="8" t="inlineStr"/>
    </row>
    <row r="31">
      <c r="A31" s="11" t="inlineStr">
        <is>
          <t>Paused Squat (2-ct)</t>
        </is>
      </c>
      <c r="B31" s="12" t="inlineStr">
        <is>
          <t>1</t>
        </is>
      </c>
      <c r="C31" s="12" t="inlineStr">
        <is>
          <t>5</t>
        </is>
      </c>
      <c r="D31" s="12" t="inlineStr">
        <is>
          <t>65%</t>
        </is>
      </c>
      <c r="E31" s="12">
        <f>MROUND('Start Here'!$C$7*0.65,5)</f>
        <v/>
      </c>
      <c r="F31" s="12" t="inlineStr">
        <is>
          <t>7.5</t>
        </is>
      </c>
      <c r="G31" s="12" t="inlineStr">
        <is>
          <t>3-4 min</t>
        </is>
      </c>
      <c r="H31" s="8" t="inlineStr">
        <is>
          <t>2-second dead-stop in the hole, stay braced and upright, no bounce. Builds bottom-position strength and quad size. Own the pause — don't rush it.</t>
        </is>
      </c>
      <c r="I31" s="12" t="inlineStr"/>
      <c r="J31" s="12" t="inlineStr"/>
      <c r="K31" s="12" t="inlineStr"/>
      <c r="L31" s="8" t="inlineStr"/>
    </row>
    <row r="32">
      <c r="A32" s="11" t="inlineStr"/>
      <c r="B32" s="12" t="inlineStr">
        <is>
          <t>2</t>
        </is>
      </c>
      <c r="C32" s="12" t="inlineStr">
        <is>
          <t>5</t>
        </is>
      </c>
      <c r="D32" s="12" t="inlineStr">
        <is>
          <t>65%</t>
        </is>
      </c>
      <c r="E32" s="12">
        <f>MROUND('Start Here'!$C$7*0.65,5)</f>
        <v/>
      </c>
      <c r="F32" s="12" t="inlineStr">
        <is>
          <t>7.5</t>
        </is>
      </c>
      <c r="G32" s="12" t="inlineStr">
        <is>
          <t>3-4 min</t>
        </is>
      </c>
      <c r="H32" s="13" t="n"/>
      <c r="I32" s="12" t="inlineStr"/>
      <c r="J32" s="12" t="inlineStr"/>
      <c r="K32" s="12" t="inlineStr"/>
      <c r="L32" s="8" t="inlineStr"/>
    </row>
    <row r="33">
      <c r="A33" s="11" t="inlineStr"/>
      <c r="B33" s="12" t="inlineStr">
        <is>
          <t>3</t>
        </is>
      </c>
      <c r="C33" s="12" t="inlineStr">
        <is>
          <t>5</t>
        </is>
      </c>
      <c r="D33" s="12" t="inlineStr">
        <is>
          <t>65%</t>
        </is>
      </c>
      <c r="E33" s="12">
        <f>MROUND('Start Here'!$C$7*0.65,5)</f>
        <v/>
      </c>
      <c r="F33" s="12" t="inlineStr">
        <is>
          <t>7.5</t>
        </is>
      </c>
      <c r="G33" s="12" t="inlineStr">
        <is>
          <t>3-4 min</t>
        </is>
      </c>
      <c r="H33" s="14" t="n"/>
      <c r="I33" s="12" t="inlineStr"/>
      <c r="J33" s="12" t="inlineStr"/>
      <c r="K33" s="12" t="inlineStr"/>
      <c r="L33" s="8" t="inlineStr"/>
    </row>
    <row r="34" ht="42" customHeight="1">
      <c r="A34" s="15" t="inlineStr">
        <is>
          <t>Bulgarian Split Squat</t>
        </is>
      </c>
      <c r="B34" s="16" t="inlineStr">
        <is>
          <t>3</t>
        </is>
      </c>
      <c r="C34" s="16" t="inlineStr">
        <is>
          <t>8-10 /leg</t>
        </is>
      </c>
      <c r="D34" s="16" t="inlineStr">
        <is>
          <t>—</t>
        </is>
      </c>
      <c r="E34" s="16" t="inlineStr">
        <is>
          <t>Your pick</t>
        </is>
      </c>
      <c r="F34" s="16" t="inlineStr">
        <is>
          <t>8</t>
        </is>
      </c>
      <c r="G34" s="16" t="inlineStr">
        <is>
          <t>2 min</t>
        </is>
      </c>
      <c r="H34" s="17" t="inlineStr">
        <is>
          <t>Rear foot elevated, slight forward lean for glutes, upright for quads — pick your target. This is your athleticism builder: balance, single-leg strength, hip stability. Start with 40-50 lb DBs.</t>
        </is>
      </c>
      <c r="I34" s="16" t="inlineStr"/>
      <c r="J34" s="16" t="inlineStr"/>
      <c r="K34" s="16" t="inlineStr"/>
      <c r="L34" s="17" t="inlineStr"/>
    </row>
    <row r="35" ht="42" customHeight="1">
      <c r="A35" s="11" t="inlineStr">
        <is>
          <t>Back Extension (glute bias)</t>
        </is>
      </c>
      <c r="B35" s="12" t="inlineStr">
        <is>
          <t>3</t>
        </is>
      </c>
      <c r="C35" s="12" t="inlineStr">
        <is>
          <t>12-15</t>
        </is>
      </c>
      <c r="D35" s="12" t="inlineStr">
        <is>
          <t>—</t>
        </is>
      </c>
      <c r="E35" s="12" t="inlineStr">
        <is>
          <t>Your pick</t>
        </is>
      </c>
      <c r="F35" s="12" t="inlineStr">
        <is>
          <t>8-9</t>
        </is>
      </c>
      <c r="G35" s="12" t="inlineStr">
        <is>
          <t>90 sec</t>
        </is>
      </c>
      <c r="H35" s="8" t="inlineStr">
        <is>
          <t>Round upper back slightly, tuck chin, squeeze glutes to lift — don't hyperextend the spine. Hold a plate when 15 gets easy.</t>
        </is>
      </c>
      <c r="I35" s="12" t="inlineStr"/>
      <c r="J35" s="12" t="inlineStr"/>
      <c r="K35" s="12" t="inlineStr"/>
      <c r="L35" s="8" t="inlineStr"/>
    </row>
    <row r="36" ht="42" customHeight="1">
      <c r="A36" s="15" t="inlineStr">
        <is>
          <t>Walking DB Lunge</t>
        </is>
      </c>
      <c r="B36" s="16" t="inlineStr">
        <is>
          <t>2</t>
        </is>
      </c>
      <c r="C36" s="16" t="inlineStr">
        <is>
          <t>20 steps</t>
        </is>
      </c>
      <c r="D36" s="16" t="inlineStr">
        <is>
          <t>—</t>
        </is>
      </c>
      <c r="E36" s="16" t="inlineStr">
        <is>
          <t>Your pick</t>
        </is>
      </c>
      <c r="F36" s="16" t="inlineStr">
        <is>
          <t>8</t>
        </is>
      </c>
      <c r="G36" s="16" t="inlineStr">
        <is>
          <t>2 min</t>
        </is>
      </c>
      <c r="H36" s="17" t="inlineStr">
        <is>
          <t>Long strides, soft knee touch, continuous walking. Brutal and athletic. Light DBs are plenty after everything else.</t>
        </is>
      </c>
      <c r="I36" s="16" t="inlineStr"/>
      <c r="J36" s="16" t="inlineStr"/>
      <c r="K36" s="16" t="inlineStr"/>
      <c r="L36" s="17" t="inlineStr"/>
    </row>
    <row r="37" ht="42" customHeight="1">
      <c r="A37" s="11" t="inlineStr">
        <is>
          <t>Seated Calf Raise</t>
        </is>
      </c>
      <c r="B37" s="12" t="inlineStr">
        <is>
          <t>4</t>
        </is>
      </c>
      <c r="C37" s="12" t="inlineStr">
        <is>
          <t>12-15</t>
        </is>
      </c>
      <c r="D37" s="12" t="inlineStr">
        <is>
          <t>—</t>
        </is>
      </c>
      <c r="E37" s="12" t="inlineStr">
        <is>
          <t>Your pick</t>
        </is>
      </c>
      <c r="F37" s="12" t="inlineStr">
        <is>
          <t>8-9</t>
        </is>
      </c>
      <c r="G37" s="12" t="inlineStr">
        <is>
          <t>60-90 sec</t>
        </is>
      </c>
      <c r="H37" s="8" t="inlineStr">
        <is>
          <t>Soleus focus. Slow 3-sec negative, deep stretch, pause at top.</t>
        </is>
      </c>
      <c r="I37" s="12" t="inlineStr"/>
      <c r="J37" s="12" t="inlineStr"/>
      <c r="K37" s="12" t="inlineStr"/>
      <c r="L37" s="8" t="inlineStr"/>
    </row>
    <row r="38" ht="42" customHeight="1">
      <c r="A38" s="15" t="inlineStr">
        <is>
          <t>Hanging Leg Raise</t>
        </is>
      </c>
      <c r="B38" s="16" t="inlineStr">
        <is>
          <t>3</t>
        </is>
      </c>
      <c r="C38" s="16" t="inlineStr">
        <is>
          <t>10-15</t>
        </is>
      </c>
      <c r="D38" s="16" t="inlineStr">
        <is>
          <t>—</t>
        </is>
      </c>
      <c r="E38" s="16" t="inlineStr">
        <is>
          <t>Your pick</t>
        </is>
      </c>
      <c r="F38" s="16" t="inlineStr">
        <is>
          <t>8</t>
        </is>
      </c>
      <c r="G38" s="16" t="inlineStr">
        <is>
          <t>90 sec</t>
        </is>
      </c>
      <c r="H38" s="17" t="inlineStr">
        <is>
          <t>Posterior pelvic tilt at the top — curl the pelvis up, don't just swing the legs. Bend knees if needed.</t>
        </is>
      </c>
      <c r="I38" s="16" t="inlineStr"/>
      <c r="J38" s="16" t="inlineStr"/>
      <c r="K38" s="16" t="inlineStr"/>
      <c r="L38" s="17" t="inlineStr"/>
    </row>
    <row r="40" ht="20" customHeight="1">
      <c r="A40" s="10" t="inlineStr">
        <is>
          <t>SUNDAY — UPPER B: VOLUME BENCH + PUMP DAY  (long session — chase the pump)</t>
        </is>
      </c>
    </row>
    <row r="41">
      <c r="A41" s="4" t="inlineStr">
        <is>
          <t>Exercise</t>
        </is>
      </c>
      <c r="B41" s="4" t="inlineStr">
        <is>
          <t>Set</t>
        </is>
      </c>
      <c r="C41" s="4" t="inlineStr">
        <is>
          <t>Target Reps</t>
        </is>
      </c>
      <c r="D41" s="4" t="inlineStr">
        <is>
          <t>%1RM</t>
        </is>
      </c>
      <c r="E41" s="4" t="inlineStr">
        <is>
          <t>Target Weight</t>
        </is>
      </c>
      <c r="F41" s="4" t="inlineStr">
        <is>
          <t>Target RPE</t>
        </is>
      </c>
      <c r="G41" s="4" t="inlineStr">
        <is>
          <t>Rest</t>
        </is>
      </c>
      <c r="H41" s="4" t="inlineStr">
        <is>
          <t>Coaching Cues / Special Instructions</t>
        </is>
      </c>
      <c r="I41" s="4" t="inlineStr">
        <is>
          <t>Actual Weight</t>
        </is>
      </c>
      <c r="J41" s="4" t="inlineStr">
        <is>
          <t>Actual Reps</t>
        </is>
      </c>
      <c r="K41" s="4" t="inlineStr">
        <is>
          <t>Actual RPE</t>
        </is>
      </c>
      <c r="L41" s="4" t="inlineStr">
        <is>
          <t>Set Notes (how it felt, bar speed, pump, tweaks)</t>
        </is>
      </c>
    </row>
    <row r="42">
      <c r="A42" s="11" t="inlineStr">
        <is>
          <t>Touch-and-Go Bench</t>
        </is>
      </c>
      <c r="B42" s="12" t="inlineStr">
        <is>
          <t>1</t>
        </is>
      </c>
      <c r="C42" s="12" t="inlineStr">
        <is>
          <t>8</t>
        </is>
      </c>
      <c r="D42" s="12" t="inlineStr">
        <is>
          <t>67.5%</t>
        </is>
      </c>
      <c r="E42" s="12">
        <f>MROUND('Start Here'!$C$8*0.675,5)</f>
        <v/>
      </c>
      <c r="F42" s="12" t="inlineStr">
        <is>
          <t>7-8</t>
        </is>
      </c>
      <c r="G42" s="12" t="inlineStr">
        <is>
          <t>3-4 min</t>
        </is>
      </c>
      <c r="H42" s="8" t="inlineStr">
        <is>
          <t>Smooth touch, no bounce off the chest. Slight tuck, squeeze pecs hard at lockout each rep. This is a muscle set, not a strength test — chase the pec pump.</t>
        </is>
      </c>
      <c r="I42" s="12" t="inlineStr"/>
      <c r="J42" s="12" t="inlineStr"/>
      <c r="K42" s="12" t="inlineStr"/>
      <c r="L42" s="8" t="inlineStr"/>
    </row>
    <row r="43">
      <c r="A43" s="11" t="inlineStr"/>
      <c r="B43" s="12" t="inlineStr">
        <is>
          <t>2</t>
        </is>
      </c>
      <c r="C43" s="12" t="inlineStr">
        <is>
          <t>8</t>
        </is>
      </c>
      <c r="D43" s="12" t="inlineStr">
        <is>
          <t>67.5%</t>
        </is>
      </c>
      <c r="E43" s="12">
        <f>MROUND('Start Here'!$C$8*0.675,5)</f>
        <v/>
      </c>
      <c r="F43" s="12" t="inlineStr">
        <is>
          <t>7-8</t>
        </is>
      </c>
      <c r="G43" s="12" t="inlineStr">
        <is>
          <t>3-4 min</t>
        </is>
      </c>
      <c r="H43" s="13" t="n"/>
      <c r="I43" s="12" t="inlineStr"/>
      <c r="J43" s="12" t="inlineStr"/>
      <c r="K43" s="12" t="inlineStr"/>
      <c r="L43" s="8" t="inlineStr"/>
    </row>
    <row r="44">
      <c r="A44" s="11" t="inlineStr"/>
      <c r="B44" s="12" t="inlineStr">
        <is>
          <t>3</t>
        </is>
      </c>
      <c r="C44" s="12" t="inlineStr">
        <is>
          <t>8</t>
        </is>
      </c>
      <c r="D44" s="12" t="inlineStr">
        <is>
          <t>67.5%</t>
        </is>
      </c>
      <c r="E44" s="12">
        <f>MROUND('Start Here'!$C$8*0.675,5)</f>
        <v/>
      </c>
      <c r="F44" s="12" t="inlineStr">
        <is>
          <t>7-8</t>
        </is>
      </c>
      <c r="G44" s="12" t="inlineStr">
        <is>
          <t>3-4 min</t>
        </is>
      </c>
      <c r="H44" s="13" t="n"/>
      <c r="I44" s="12" t="inlineStr"/>
      <c r="J44" s="12" t="inlineStr"/>
      <c r="K44" s="12" t="inlineStr"/>
      <c r="L44" s="8" t="inlineStr"/>
    </row>
    <row r="45">
      <c r="A45" s="11" t="inlineStr"/>
      <c r="B45" s="12" t="inlineStr">
        <is>
          <t>4</t>
        </is>
      </c>
      <c r="C45" s="12" t="inlineStr">
        <is>
          <t>8</t>
        </is>
      </c>
      <c r="D45" s="12" t="inlineStr">
        <is>
          <t>67.5%</t>
        </is>
      </c>
      <c r="E45" s="12">
        <f>MROUND('Start Here'!$C$8*0.675,5)</f>
        <v/>
      </c>
      <c r="F45" s="12" t="inlineStr">
        <is>
          <t>7-8</t>
        </is>
      </c>
      <c r="G45" s="12" t="inlineStr">
        <is>
          <t>3-4 min</t>
        </is>
      </c>
      <c r="H45" s="14" t="n"/>
      <c r="I45" s="12" t="inlineStr"/>
      <c r="J45" s="12" t="inlineStr"/>
      <c r="K45" s="12" t="inlineStr"/>
      <c r="L45" s="8" t="inlineStr"/>
    </row>
    <row r="46" ht="42" customHeight="1">
      <c r="A46" s="15" t="inlineStr">
        <is>
          <t>Incline DB Press (30°)</t>
        </is>
      </c>
      <c r="B46" s="16" t="inlineStr">
        <is>
          <t>3</t>
        </is>
      </c>
      <c r="C46" s="16" t="inlineStr">
        <is>
          <t>10-12</t>
        </is>
      </c>
      <c r="D46" s="16" t="inlineStr">
        <is>
          <t>—</t>
        </is>
      </c>
      <c r="E46" s="16" t="inlineStr">
        <is>
          <t>Your pick</t>
        </is>
      </c>
      <c r="F46" s="16" t="inlineStr">
        <is>
          <t>8</t>
        </is>
      </c>
      <c r="G46" s="16" t="inlineStr">
        <is>
          <t>2 min</t>
        </is>
      </c>
      <c r="H46" s="17" t="inlineStr">
        <is>
          <t>Deep stretch at the bottom, press up-and-in, squeeze upper pecs at top. Don't touch the DBs together hard — keep tension. Start ~75-85s.</t>
        </is>
      </c>
      <c r="I46" s="16" t="inlineStr"/>
      <c r="J46" s="16" t="inlineStr"/>
      <c r="K46" s="16" t="inlineStr"/>
      <c r="L46" s="17" t="inlineStr"/>
    </row>
    <row r="47" ht="42" customHeight="1">
      <c r="A47" s="11" t="inlineStr">
        <is>
          <t>Lat Pulldown (neutral wide)</t>
        </is>
      </c>
      <c r="B47" s="12" t="inlineStr">
        <is>
          <t>4</t>
        </is>
      </c>
      <c r="C47" s="12" t="inlineStr">
        <is>
          <t>10-12</t>
        </is>
      </c>
      <c r="D47" s="12" t="inlineStr">
        <is>
          <t>—</t>
        </is>
      </c>
      <c r="E47" s="12" t="inlineStr">
        <is>
          <t>Your pick</t>
        </is>
      </c>
      <c r="F47" s="12" t="inlineStr">
        <is>
          <t>8</t>
        </is>
      </c>
      <c r="G47" s="12" t="inlineStr">
        <is>
          <t>90 sec</t>
        </is>
      </c>
      <c r="H47" s="8" t="inlineStr">
        <is>
          <t>Drive elbows down and back, pause 1 sec at the chest, 3-sec controlled return. Think 'elbows in back pockets' — feel the lats, not the arms.</t>
        </is>
      </c>
      <c r="I47" s="12" t="inlineStr"/>
      <c r="J47" s="12" t="inlineStr"/>
      <c r="K47" s="12" t="inlineStr"/>
      <c r="L47" s="8" t="inlineStr"/>
    </row>
    <row r="48" ht="42" customHeight="1">
      <c r="A48" s="15" t="inlineStr">
        <is>
          <t>Single-Arm Cable Row</t>
        </is>
      </c>
      <c r="B48" s="16" t="inlineStr">
        <is>
          <t>3</t>
        </is>
      </c>
      <c r="C48" s="16" t="inlineStr">
        <is>
          <t>10-12 /arm</t>
        </is>
      </c>
      <c r="D48" s="16" t="inlineStr">
        <is>
          <t>—</t>
        </is>
      </c>
      <c r="E48" s="16" t="inlineStr">
        <is>
          <t>Your pick</t>
        </is>
      </c>
      <c r="F48" s="16" t="inlineStr">
        <is>
          <t>8</t>
        </is>
      </c>
      <c r="G48" s="16" t="inlineStr">
        <is>
          <t>90 sec</t>
        </is>
      </c>
      <c r="H48" s="17" t="inlineStr">
        <is>
          <t>Allow a full stretch and slight rotation forward, then row and squeeze. One side at a time = maximum mind-muscle connection.</t>
        </is>
      </c>
      <c r="I48" s="16" t="inlineStr"/>
      <c r="J48" s="16" t="inlineStr"/>
      <c r="K48" s="16" t="inlineStr"/>
      <c r="L48" s="17" t="inlineStr"/>
    </row>
    <row r="49" ht="42" customHeight="1">
      <c r="A49" s="11" t="inlineStr">
        <is>
          <t>DB Lateral Raise</t>
        </is>
      </c>
      <c r="B49" s="12" t="inlineStr">
        <is>
          <t>4</t>
        </is>
      </c>
      <c r="C49" s="12" t="inlineStr">
        <is>
          <t>12-15</t>
        </is>
      </c>
      <c r="D49" s="12" t="inlineStr">
        <is>
          <t>—</t>
        </is>
      </c>
      <c r="E49" s="12" t="inlineStr">
        <is>
          <t>Your pick</t>
        </is>
      </c>
      <c r="F49" s="12" t="inlineStr">
        <is>
          <t>9</t>
        </is>
      </c>
      <c r="G49" s="12" t="inlineStr">
        <is>
          <t>60-75 sec</t>
        </is>
      </c>
      <c r="H49" s="8" t="inlineStr">
        <is>
          <t>Lead with the elbows, tilt pinkies slightly up, stop at shoulder height. Weeks 3 &amp; 7: drop-set the last set (drop ~40%, rep to near-failure). Side delts make you look athletic in a t-shirt.</t>
        </is>
      </c>
      <c r="I49" s="12" t="inlineStr"/>
      <c r="J49" s="12" t="inlineStr"/>
      <c r="K49" s="12" t="inlineStr"/>
      <c r="L49" s="8" t="inlineStr"/>
    </row>
    <row r="50" ht="42" customHeight="1">
      <c r="A50" s="15" t="inlineStr">
        <is>
          <t>Cable Fly (low-to-high or pec deck)</t>
        </is>
      </c>
      <c r="B50" s="16" t="inlineStr">
        <is>
          <t>3</t>
        </is>
      </c>
      <c r="C50" s="16" t="inlineStr">
        <is>
          <t>12-15</t>
        </is>
      </c>
      <c r="D50" s="16" t="inlineStr">
        <is>
          <t>—</t>
        </is>
      </c>
      <c r="E50" s="16" t="inlineStr">
        <is>
          <t>Your pick</t>
        </is>
      </c>
      <c r="F50" s="16" t="inlineStr">
        <is>
          <t>8-9</t>
        </is>
      </c>
      <c r="G50" s="16" t="inlineStr">
        <is>
          <t>60-90 sec</t>
        </is>
      </c>
      <c r="H50" s="17" t="inlineStr">
        <is>
          <t>Big stretch, hug a barrel, squeeze pecs together for a 1-count. Pure pump work — moderate weight, perfect reps.</t>
        </is>
      </c>
      <c r="I50" s="16" t="inlineStr"/>
      <c r="J50" s="16" t="inlineStr"/>
      <c r="K50" s="16" t="inlineStr"/>
      <c r="L50" s="17" t="inlineStr"/>
    </row>
    <row r="51" ht="42" customHeight="1">
      <c r="A51" s="11" t="inlineStr">
        <is>
          <t>SUPERSET: Incline DB Curl + Lying DB Skullcrusher</t>
        </is>
      </c>
      <c r="B51" s="12" t="inlineStr">
        <is>
          <t>3</t>
        </is>
      </c>
      <c r="C51" s="12" t="inlineStr">
        <is>
          <t>10-12 each</t>
        </is>
      </c>
      <c r="D51" s="12" t="inlineStr">
        <is>
          <t>—</t>
        </is>
      </c>
      <c r="E51" s="12" t="inlineStr">
        <is>
          <t>Your pick</t>
        </is>
      </c>
      <c r="F51" s="12" t="inlineStr">
        <is>
          <t>8-9</t>
        </is>
      </c>
      <c r="G51" s="12" t="inlineStr">
        <is>
          <t>90 sec after pair</t>
        </is>
      </c>
      <c r="H51" s="8" t="inlineStr">
        <is>
          <t>Incline curls: full stretch at the bottom, biceps long-head heaven. Skullcrushers: lower behind the head slightly for more stretch.</t>
        </is>
      </c>
      <c r="I51" s="12" t="inlineStr"/>
      <c r="J51" s="12" t="inlineStr"/>
      <c r="K51" s="12" t="inlineStr"/>
      <c r="L51" s="8" t="inlineStr"/>
    </row>
    <row r="52" ht="42" customHeight="1">
      <c r="A52" s="15" t="inlineStr">
        <is>
          <t>SUPERSET: Hammer Curl + Rope Pressdown</t>
        </is>
      </c>
      <c r="B52" s="16" t="inlineStr">
        <is>
          <t>2</t>
        </is>
      </c>
      <c r="C52" s="16" t="inlineStr">
        <is>
          <t>12-15 each</t>
        </is>
      </c>
      <c r="D52" s="16" t="inlineStr">
        <is>
          <t>—</t>
        </is>
      </c>
      <c r="E52" s="16" t="inlineStr">
        <is>
          <t>Your pick</t>
        </is>
      </c>
      <c r="F52" s="16" t="inlineStr">
        <is>
          <t>9</t>
        </is>
      </c>
      <c r="G52" s="16" t="inlineStr">
        <is>
          <t>60 sec after pair</t>
        </is>
      </c>
      <c r="H52" s="17" t="inlineStr">
        <is>
          <t>Finisher — chase the arm pump. Strict form, short rests, walk out with sleeves tight.</t>
        </is>
      </c>
      <c r="I52" s="16" t="inlineStr"/>
      <c r="J52" s="16" t="inlineStr"/>
      <c r="K52" s="16" t="inlineStr"/>
      <c r="L52" s="17" t="inlineStr"/>
    </row>
    <row r="53" ht="42" customHeight="1">
      <c r="A53" s="11" t="inlineStr">
        <is>
          <t>Reverse Pec Deck (rear delts)</t>
        </is>
      </c>
      <c r="B53" s="12" t="inlineStr">
        <is>
          <t>3</t>
        </is>
      </c>
      <c r="C53" s="12" t="inlineStr">
        <is>
          <t>15-20</t>
        </is>
      </c>
      <c r="D53" s="12" t="inlineStr">
        <is>
          <t>—</t>
        </is>
      </c>
      <c r="E53" s="12" t="inlineStr">
        <is>
          <t>Your pick</t>
        </is>
      </c>
      <c r="F53" s="12" t="inlineStr">
        <is>
          <t>8-9</t>
        </is>
      </c>
      <c r="G53" s="12" t="inlineStr">
        <is>
          <t>60 sec</t>
        </is>
      </c>
      <c r="H53" s="8" t="inlineStr">
        <is>
          <t>Lead with elbows out, don't squeeze shoulder blades — keep it in the rear delts. Posture, shoulder health, 3-D delts.</t>
        </is>
      </c>
      <c r="I53" s="12" t="inlineStr"/>
      <c r="J53" s="12" t="inlineStr"/>
      <c r="K53" s="12" t="inlineStr"/>
      <c r="L53" s="8" t="inlineStr"/>
    </row>
  </sheetData>
  <mergeCells count="10">
    <mergeCell ref="A26:L26"/>
    <mergeCell ref="A2:L2"/>
    <mergeCell ref="H4:H7"/>
    <mergeCell ref="A1:L1"/>
    <mergeCell ref="H16:H19"/>
    <mergeCell ref="A14:L14"/>
    <mergeCell ref="H42:H45"/>
    <mergeCell ref="H28:H30"/>
    <mergeCell ref="A40:L40"/>
    <mergeCell ref="H31:H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9" t="inlineStr">
        <is>
          <t>FORGED 4-DAY POWERBUILDER  —  WEEK 3   |   BLOCK 1: VOLUME &amp; MOVEMENT QUALITY</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1" t="inlineStr">
        <is>
          <t>Competition Squat</t>
        </is>
      </c>
      <c r="B4" s="12" t="inlineStr">
        <is>
          <t>1</t>
        </is>
      </c>
      <c r="C4" s="12" t="inlineStr">
        <is>
          <t>5</t>
        </is>
      </c>
      <c r="D4" s="12" t="inlineStr">
        <is>
          <t>75%</t>
        </is>
      </c>
      <c r="E4" s="12">
        <f>MROUND('Start Here'!$C$7*0.75,5)</f>
        <v/>
      </c>
      <c r="F4" s="12" t="inlineStr">
        <is>
          <t>8</t>
        </is>
      </c>
      <c r="G4" s="12" t="inlineStr">
        <is>
          <t>3-4 min</t>
        </is>
      </c>
      <c r="H4" s="8" t="inlineStr">
        <is>
          <t>Full comp setup every set: same walkout, same bracing. Big 360° breath, spread the floor, drive up through mid-foot. Treat every rep like a platform rep.</t>
        </is>
      </c>
      <c r="I4" s="12" t="inlineStr"/>
      <c r="J4" s="12" t="inlineStr"/>
      <c r="K4" s="12" t="inlineStr"/>
      <c r="L4" s="8" t="inlineStr"/>
    </row>
    <row r="5">
      <c r="A5" s="11" t="inlineStr"/>
      <c r="B5" s="12" t="inlineStr">
        <is>
          <t>2</t>
        </is>
      </c>
      <c r="C5" s="12" t="inlineStr">
        <is>
          <t>5</t>
        </is>
      </c>
      <c r="D5" s="12" t="inlineStr">
        <is>
          <t>75%</t>
        </is>
      </c>
      <c r="E5" s="12">
        <f>MROUND('Start Here'!$C$7*0.75,5)</f>
        <v/>
      </c>
      <c r="F5" s="12" t="inlineStr">
        <is>
          <t>8</t>
        </is>
      </c>
      <c r="G5" s="12" t="inlineStr">
        <is>
          <t>3-4 min</t>
        </is>
      </c>
      <c r="H5" s="13" t="n"/>
      <c r="I5" s="12" t="inlineStr"/>
      <c r="J5" s="12" t="inlineStr"/>
      <c r="K5" s="12" t="inlineStr"/>
      <c r="L5" s="8" t="inlineStr"/>
    </row>
    <row r="6">
      <c r="A6" s="11" t="inlineStr"/>
      <c r="B6" s="12" t="inlineStr">
        <is>
          <t>3</t>
        </is>
      </c>
      <c r="C6" s="12" t="inlineStr">
        <is>
          <t>5</t>
        </is>
      </c>
      <c r="D6" s="12" t="inlineStr">
        <is>
          <t>75%</t>
        </is>
      </c>
      <c r="E6" s="12">
        <f>MROUND('Start Here'!$C$7*0.75,5)</f>
        <v/>
      </c>
      <c r="F6" s="12" t="inlineStr">
        <is>
          <t>8</t>
        </is>
      </c>
      <c r="G6" s="12" t="inlineStr">
        <is>
          <t>3-4 min</t>
        </is>
      </c>
      <c r="H6" s="13" t="n"/>
      <c r="I6" s="12" t="inlineStr"/>
      <c r="J6" s="12" t="inlineStr"/>
      <c r="K6" s="12" t="inlineStr"/>
      <c r="L6" s="8" t="inlineStr"/>
    </row>
    <row r="7">
      <c r="A7" s="11" t="inlineStr"/>
      <c r="B7" s="12" t="inlineStr">
        <is>
          <t>4</t>
        </is>
      </c>
      <c r="C7" s="12" t="inlineStr">
        <is>
          <t>5</t>
        </is>
      </c>
      <c r="D7" s="12" t="inlineStr">
        <is>
          <t>75%</t>
        </is>
      </c>
      <c r="E7" s="12">
        <f>MROUND('Start Here'!$C$7*0.75,5)</f>
        <v/>
      </c>
      <c r="F7" s="12" t="inlineStr">
        <is>
          <t>8</t>
        </is>
      </c>
      <c r="G7" s="12" t="inlineStr">
        <is>
          <t>3-4 min</t>
        </is>
      </c>
      <c r="H7" s="14" t="n"/>
      <c r="I7" s="12" t="inlineStr"/>
      <c r="J7" s="12" t="inlineStr"/>
      <c r="K7" s="12" t="inlineStr"/>
      <c r="L7" s="8" t="inlineStr"/>
    </row>
    <row r="8" ht="42" customHeight="1">
      <c r="A8" s="15" t="inlineStr">
        <is>
          <t>Romanian Deadlift</t>
        </is>
      </c>
      <c r="B8" s="16" t="inlineStr">
        <is>
          <t>3</t>
        </is>
      </c>
      <c r="C8" s="16" t="inlineStr">
        <is>
          <t>8-10</t>
        </is>
      </c>
      <c r="D8" s="16" t="inlineStr">
        <is>
          <t>—</t>
        </is>
      </c>
      <c r="E8" s="16" t="inlineStr">
        <is>
          <t>Your pick</t>
        </is>
      </c>
      <c r="F8" s="16" t="inlineStr">
        <is>
          <t>7-8</t>
        </is>
      </c>
      <c r="G8" s="16" t="inlineStr">
        <is>
          <t>2-3 min</t>
        </is>
      </c>
      <c r="H8" s="17" t="inlineStr">
        <is>
          <t>Soft knees, push hips back until hamstrings scream, bar drags the thighs. Start ~185-225 and add when all sets hit 10. Feel the stretch — that's the growth signal.</t>
        </is>
      </c>
      <c r="I8" s="16" t="inlineStr"/>
      <c r="J8" s="16" t="inlineStr"/>
      <c r="K8" s="16" t="inlineStr"/>
      <c r="L8" s="17" t="inlineStr"/>
    </row>
    <row r="9" ht="42" customHeight="1">
      <c r="A9" s="11" t="inlineStr">
        <is>
          <t>Leg Press (feet low &amp; narrow)</t>
        </is>
      </c>
      <c r="B9" s="12" t="inlineStr">
        <is>
          <t>3</t>
        </is>
      </c>
      <c r="C9" s="12" t="inlineStr">
        <is>
          <t>10-12</t>
        </is>
      </c>
      <c r="D9" s="12" t="inlineStr">
        <is>
          <t>—</t>
        </is>
      </c>
      <c r="E9" s="12" t="inlineStr">
        <is>
          <t>Your pick</t>
        </is>
      </c>
      <c r="F9" s="12" t="inlineStr">
        <is>
          <t>8</t>
        </is>
      </c>
      <c r="G9" s="12" t="inlineStr">
        <is>
          <t>2 min</t>
        </is>
      </c>
      <c r="H9" s="8" t="inlineStr">
        <is>
          <t>Quad-bias stance. Full depth without butt tucking, 2-sec lowering. Drive knees over toes. Don't chase plates — chase the quad burn.</t>
        </is>
      </c>
      <c r="I9" s="12" t="inlineStr"/>
      <c r="J9" s="12" t="inlineStr"/>
      <c r="K9" s="12" t="inlineStr"/>
      <c r="L9" s="8" t="inlineStr"/>
    </row>
    <row r="10" ht="42" customHeight="1">
      <c r="A10" s="15" t="inlineStr">
        <is>
          <t>Seated Leg Curl</t>
        </is>
      </c>
      <c r="B10" s="16" t="inlineStr">
        <is>
          <t>3</t>
        </is>
      </c>
      <c r="C10" s="16" t="inlineStr">
        <is>
          <t>12-15</t>
        </is>
      </c>
      <c r="D10" s="16" t="inlineStr">
        <is>
          <t>—</t>
        </is>
      </c>
      <c r="E10" s="16" t="inlineStr">
        <is>
          <t>Your pick</t>
        </is>
      </c>
      <c r="F10" s="16" t="inlineStr">
        <is>
          <t>8-9</t>
        </is>
      </c>
      <c r="G10" s="16" t="inlineStr">
        <is>
          <t>90 sec</t>
        </is>
      </c>
      <c r="H10" s="17" t="inlineStr">
        <is>
          <t>Lean torso forward slightly for a longer hamstring stretch. Squeeze 1 sec at full flexion, 3-sec lowering.</t>
        </is>
      </c>
      <c r="I10" s="16" t="inlineStr"/>
      <c r="J10" s="16" t="inlineStr"/>
      <c r="K10" s="16" t="inlineStr"/>
      <c r="L10" s="17" t="inlineStr"/>
    </row>
    <row r="11" ht="42" customHeight="1">
      <c r="A11" s="11" t="inlineStr">
        <is>
          <t>Standing Calf Raise</t>
        </is>
      </c>
      <c r="B11" s="12" t="inlineStr">
        <is>
          <t>3</t>
        </is>
      </c>
      <c r="C11" s="12" t="inlineStr">
        <is>
          <t>10-12</t>
        </is>
      </c>
      <c r="D11" s="12" t="inlineStr">
        <is>
          <t>—</t>
        </is>
      </c>
      <c r="E11" s="12" t="inlineStr">
        <is>
          <t>Your pick</t>
        </is>
      </c>
      <c r="F11" s="12" t="inlineStr">
        <is>
          <t>8-9</t>
        </is>
      </c>
      <c r="G11" s="12" t="inlineStr">
        <is>
          <t>90 sec</t>
        </is>
      </c>
      <c r="H11" s="8" t="inlineStr">
        <is>
          <t>Full stretch at the bottom for a 2-count, drive through the big toe, pause at the top. No bouncing.</t>
        </is>
      </c>
      <c r="I11" s="12" t="inlineStr"/>
      <c r="J11" s="12" t="inlineStr"/>
      <c r="K11" s="12" t="inlineStr"/>
      <c r="L11" s="8" t="inlineStr"/>
    </row>
    <row r="12" ht="42" customHeight="1">
      <c r="A12" s="15" t="inlineStr">
        <is>
          <t>Cable Crunch</t>
        </is>
      </c>
      <c r="B12" s="16" t="inlineStr">
        <is>
          <t>3</t>
        </is>
      </c>
      <c r="C12" s="16" t="inlineStr">
        <is>
          <t>12-15</t>
        </is>
      </c>
      <c r="D12" s="16" t="inlineStr">
        <is>
          <t>—</t>
        </is>
      </c>
      <c r="E12" s="16" t="inlineStr">
        <is>
          <t>Your pick</t>
        </is>
      </c>
      <c r="F12" s="16" t="inlineStr">
        <is>
          <t>8</t>
        </is>
      </c>
      <c r="G12" s="16" t="inlineStr">
        <is>
          <t>60-90 sec</t>
        </is>
      </c>
      <c r="H12" s="17" t="inlineStr">
        <is>
          <t>Flex the spine — ribs to hips, don't just bow at the waist. Strong abs = strong squat brace.</t>
        </is>
      </c>
      <c r="I12" s="16" t="inlineStr"/>
      <c r="J12" s="16" t="inlineStr"/>
      <c r="K12" s="16" t="inlineStr"/>
      <c r="L12" s="17" t="inlineStr"/>
    </row>
    <row r="14" ht="20" customHeight="1">
      <c r="A14" s="10" t="inlineStr">
        <is>
          <t>THURSDAY — UPPER A: BENCH STRENGTH + BACK  (target: ≤85 min)</t>
        </is>
      </c>
    </row>
    <row r="15">
      <c r="A15" s="4" t="inlineStr">
        <is>
          <t>Exercise</t>
        </is>
      </c>
      <c r="B15" s="4" t="inlineStr">
        <is>
          <t>Set</t>
        </is>
      </c>
      <c r="C15" s="4" t="inlineStr">
        <is>
          <t>Target Reps</t>
        </is>
      </c>
      <c r="D15" s="4" t="inlineStr">
        <is>
          <t>%1RM</t>
        </is>
      </c>
      <c r="E15" s="4" t="inlineStr">
        <is>
          <t>Target Weight</t>
        </is>
      </c>
      <c r="F15" s="4" t="inlineStr">
        <is>
          <t>Target RPE</t>
        </is>
      </c>
      <c r="G15" s="4" t="inlineStr">
        <is>
          <t>Rest</t>
        </is>
      </c>
      <c r="H15" s="4" t="inlineStr">
        <is>
          <t>Coaching Cues / Special Instructions</t>
        </is>
      </c>
      <c r="I15" s="4" t="inlineStr">
        <is>
          <t>Actual Weight</t>
        </is>
      </c>
      <c r="J15" s="4" t="inlineStr">
        <is>
          <t>Actual Reps</t>
        </is>
      </c>
      <c r="K15" s="4" t="inlineStr">
        <is>
          <t>Actual RPE</t>
        </is>
      </c>
      <c r="L15" s="4" t="inlineStr">
        <is>
          <t>Set Notes (how it felt, bar speed, pump, tweaks)</t>
        </is>
      </c>
    </row>
    <row r="16">
      <c r="A16" s="11" t="inlineStr">
        <is>
          <t>Competition Bench</t>
        </is>
      </c>
      <c r="B16" s="12" t="inlineStr">
        <is>
          <t>1</t>
        </is>
      </c>
      <c r="C16" s="12" t="inlineStr">
        <is>
          <t>5</t>
        </is>
      </c>
      <c r="D16" s="12" t="inlineStr">
        <is>
          <t>75%</t>
        </is>
      </c>
      <c r="E16" s="12">
        <f>MROUND('Start Here'!$C$8*0.75,5)</f>
        <v/>
      </c>
      <c r="F16" s="12" t="inlineStr">
        <is>
          <t>8</t>
        </is>
      </c>
      <c r="G16" s="12" t="inlineStr">
        <is>
          <t>3-4 min</t>
        </is>
      </c>
      <c r="H16" s="8" t="inlineStr">
        <is>
          <t>Comp pause on every rep this day. Set your arch, pull the bar apart, tuck elbows ~45°, press back over your face. Leg drive on.</t>
        </is>
      </c>
      <c r="I16" s="12" t="inlineStr"/>
      <c r="J16" s="12" t="inlineStr"/>
      <c r="K16" s="12" t="inlineStr"/>
      <c r="L16" s="8" t="inlineStr"/>
    </row>
    <row r="17">
      <c r="A17" s="11" t="inlineStr"/>
      <c r="B17" s="12" t="inlineStr">
        <is>
          <t>2</t>
        </is>
      </c>
      <c r="C17" s="12" t="inlineStr">
        <is>
          <t>5</t>
        </is>
      </c>
      <c r="D17" s="12" t="inlineStr">
        <is>
          <t>75%</t>
        </is>
      </c>
      <c r="E17" s="12">
        <f>MROUND('Start Here'!$C$8*0.75,5)</f>
        <v/>
      </c>
      <c r="F17" s="12" t="inlineStr">
        <is>
          <t>8</t>
        </is>
      </c>
      <c r="G17" s="12" t="inlineStr">
        <is>
          <t>3-4 min</t>
        </is>
      </c>
      <c r="H17" s="13" t="n"/>
      <c r="I17" s="12" t="inlineStr"/>
      <c r="J17" s="12" t="inlineStr"/>
      <c r="K17" s="12" t="inlineStr"/>
      <c r="L17" s="8" t="inlineStr"/>
    </row>
    <row r="18">
      <c r="A18" s="11" t="inlineStr"/>
      <c r="B18" s="12" t="inlineStr">
        <is>
          <t>3</t>
        </is>
      </c>
      <c r="C18" s="12" t="inlineStr">
        <is>
          <t>5</t>
        </is>
      </c>
      <c r="D18" s="12" t="inlineStr">
        <is>
          <t>75%</t>
        </is>
      </c>
      <c r="E18" s="12">
        <f>MROUND('Start Here'!$C$8*0.75,5)</f>
        <v/>
      </c>
      <c r="F18" s="12" t="inlineStr">
        <is>
          <t>8</t>
        </is>
      </c>
      <c r="G18" s="12" t="inlineStr">
        <is>
          <t>3-4 min</t>
        </is>
      </c>
      <c r="H18" s="13" t="n"/>
      <c r="I18" s="12" t="inlineStr"/>
      <c r="J18" s="12" t="inlineStr"/>
      <c r="K18" s="12" t="inlineStr"/>
      <c r="L18" s="8" t="inlineStr"/>
    </row>
    <row r="19">
      <c r="A19" s="11" t="inlineStr"/>
      <c r="B19" s="12" t="inlineStr">
        <is>
          <t>4</t>
        </is>
      </c>
      <c r="C19" s="12" t="inlineStr">
        <is>
          <t>5</t>
        </is>
      </c>
      <c r="D19" s="12" t="inlineStr">
        <is>
          <t>75%</t>
        </is>
      </c>
      <c r="E19" s="12">
        <f>MROUND('Start Here'!$C$8*0.75,5)</f>
        <v/>
      </c>
      <c r="F19" s="12" t="inlineStr">
        <is>
          <t>8</t>
        </is>
      </c>
      <c r="G19" s="12" t="inlineStr">
        <is>
          <t>3-4 min</t>
        </is>
      </c>
      <c r="H19" s="14" t="n"/>
      <c r="I19" s="12" t="inlineStr"/>
      <c r="J19" s="12" t="inlineStr"/>
      <c r="K19" s="12" t="inlineStr"/>
      <c r="L19" s="8" t="inlineStr"/>
    </row>
    <row r="20" ht="42" customHeight="1">
      <c r="A20" s="15" t="inlineStr">
        <is>
          <t>Weighted Pull-Up</t>
        </is>
      </c>
      <c r="B20" s="16" t="inlineStr">
        <is>
          <t>4</t>
        </is>
      </c>
      <c r="C20" s="16" t="inlineStr">
        <is>
          <t>6-8</t>
        </is>
      </c>
      <c r="D20" s="16" t="inlineStr">
        <is>
          <t>—</t>
        </is>
      </c>
      <c r="E20" s="16" t="inlineStr">
        <is>
          <t>Your pick</t>
        </is>
      </c>
      <c r="F20" s="16" t="inlineStr">
        <is>
          <t>8</t>
        </is>
      </c>
      <c r="G20" s="16" t="inlineStr">
        <is>
          <t>2-3 min</t>
        </is>
      </c>
      <c r="H20" s="17" t="inlineStr">
        <is>
          <t>Add weight when you own 4x8 at bodyweight+. Dead hang start, drive elbows to hips, chest to bar. Lats build your bench arch and your V-taper.</t>
        </is>
      </c>
      <c r="I20" s="16" t="inlineStr"/>
      <c r="J20" s="16" t="inlineStr"/>
      <c r="K20" s="16" t="inlineStr"/>
      <c r="L20" s="17" t="inlineStr"/>
    </row>
    <row r="21" ht="42" customHeight="1">
      <c r="A21" s="11" t="inlineStr">
        <is>
          <t>Seated DB Shoulder Press</t>
        </is>
      </c>
      <c r="B21" s="12" t="inlineStr">
        <is>
          <t>3</t>
        </is>
      </c>
      <c r="C21" s="12" t="inlineStr">
        <is>
          <t>8-10</t>
        </is>
      </c>
      <c r="D21" s="12" t="inlineStr">
        <is>
          <t>—</t>
        </is>
      </c>
      <c r="E21" s="12" t="inlineStr">
        <is>
          <t>Your pick</t>
        </is>
      </c>
      <c r="F21" s="12" t="inlineStr">
        <is>
          <t>8</t>
        </is>
      </c>
      <c r="G21" s="12" t="inlineStr">
        <is>
          <t>2 min</t>
        </is>
      </c>
      <c r="H21" s="8" t="inlineStr">
        <is>
          <t>Slight back support, press up-and-in, stop just short of lockout to keep tension on delts. Start ~55-65s.</t>
        </is>
      </c>
      <c r="I21" s="12" t="inlineStr"/>
      <c r="J21" s="12" t="inlineStr"/>
      <c r="K21" s="12" t="inlineStr"/>
      <c r="L21" s="8" t="inlineStr"/>
    </row>
    <row r="22" ht="42" customHeight="1">
      <c r="A22" s="15" t="inlineStr">
        <is>
          <t>Chest-Supported Row</t>
        </is>
      </c>
      <c r="B22" s="16" t="inlineStr">
        <is>
          <t>3</t>
        </is>
      </c>
      <c r="C22" s="16" t="inlineStr">
        <is>
          <t>10-12</t>
        </is>
      </c>
      <c r="D22" s="16" t="inlineStr">
        <is>
          <t>—</t>
        </is>
      </c>
      <c r="E22" s="16" t="inlineStr">
        <is>
          <t>Your pick</t>
        </is>
      </c>
      <c r="F22" s="16" t="inlineStr">
        <is>
          <t>8</t>
        </is>
      </c>
      <c r="G22" s="16" t="inlineStr">
        <is>
          <t>90 sec</t>
        </is>
      </c>
      <c r="H22" s="17" t="inlineStr">
        <is>
          <t>Chest glued to pad — no cheating with body English. Pull to lower ribs, squeeze the shoulder blades for 1 sec.</t>
        </is>
      </c>
      <c r="I22" s="16" t="inlineStr"/>
      <c r="J22" s="16" t="inlineStr"/>
      <c r="K22" s="16" t="inlineStr"/>
      <c r="L22" s="17" t="inlineStr"/>
    </row>
    <row r="23" ht="42" customHeight="1">
      <c r="A23" s="11" t="inlineStr">
        <is>
          <t>SUPERSET: EZ-Bar Curl + Overhead Cable Extension</t>
        </is>
      </c>
      <c r="B23" s="12" t="inlineStr">
        <is>
          <t>3</t>
        </is>
      </c>
      <c r="C23" s="12" t="inlineStr">
        <is>
          <t>10-12 each</t>
        </is>
      </c>
      <c r="D23" s="12" t="inlineStr">
        <is>
          <t>—</t>
        </is>
      </c>
      <c r="E23" s="12" t="inlineStr">
        <is>
          <t>Your pick</t>
        </is>
      </c>
      <c r="F23" s="12" t="inlineStr">
        <is>
          <t>8</t>
        </is>
      </c>
      <c r="G23" s="12" t="inlineStr">
        <is>
          <t>90 sec after pair</t>
        </is>
      </c>
      <c r="H23" s="8" t="inlineStr">
        <is>
          <t>Curls: elbows pinned, no swing. Overhead extensions: full stretch behind head — long-head triceps grow from the stretch. Alternate exercises, rest after both.</t>
        </is>
      </c>
      <c r="I23" s="12" t="inlineStr"/>
      <c r="J23" s="12" t="inlineStr"/>
      <c r="K23" s="12" t="inlineStr"/>
      <c r="L23" s="8" t="inlineStr"/>
    </row>
    <row r="24" ht="42" customHeight="1">
      <c r="A24" s="15" t="inlineStr">
        <is>
          <t>Face Pull</t>
        </is>
      </c>
      <c r="B24" s="16" t="inlineStr">
        <is>
          <t>3</t>
        </is>
      </c>
      <c r="C24" s="16" t="inlineStr">
        <is>
          <t>15-20</t>
        </is>
      </c>
      <c r="D24" s="16" t="inlineStr">
        <is>
          <t>—</t>
        </is>
      </c>
      <c r="E24" s="16" t="inlineStr">
        <is>
          <t>Your pick</t>
        </is>
      </c>
      <c r="F24" s="16" t="inlineStr">
        <is>
          <t>8</t>
        </is>
      </c>
      <c r="G24" s="16" t="inlineStr">
        <is>
          <t>60 sec</t>
        </is>
      </c>
      <c r="H24" s="17" t="inlineStr">
        <is>
          <t>Rope to forehead, thumbs back, external rotate at the end. Shoulder insurance — never skip these.</t>
        </is>
      </c>
      <c r="I24" s="16" t="inlineStr"/>
      <c r="J24" s="16" t="inlineStr"/>
      <c r="K24" s="16" t="inlineStr"/>
      <c r="L24" s="17" t="inlineStr"/>
    </row>
    <row r="26" ht="20" customHeight="1">
      <c r="A26" s="10" t="inlineStr">
        <is>
          <t>SATURDAY — LOWER B: DEADLIFT + ATHLETIC LOWER  (long session — take your time)</t>
        </is>
      </c>
    </row>
    <row r="27">
      <c r="A27" s="4" t="inlineStr">
        <is>
          <t>Exercise</t>
        </is>
      </c>
      <c r="B27" s="4" t="inlineStr">
        <is>
          <t>Set</t>
        </is>
      </c>
      <c r="C27" s="4" t="inlineStr">
        <is>
          <t>Target Reps</t>
        </is>
      </c>
      <c r="D27" s="4" t="inlineStr">
        <is>
          <t>%1RM</t>
        </is>
      </c>
      <c r="E27" s="4" t="inlineStr">
        <is>
          <t>Target Weight</t>
        </is>
      </c>
      <c r="F27" s="4" t="inlineStr">
        <is>
          <t>Target RPE</t>
        </is>
      </c>
      <c r="G27" s="4" t="inlineStr">
        <is>
          <t>Rest</t>
        </is>
      </c>
      <c r="H27" s="4" t="inlineStr">
        <is>
          <t>Coaching Cues / Special Instructions</t>
        </is>
      </c>
      <c r="I27" s="4" t="inlineStr">
        <is>
          <t>Actual Weight</t>
        </is>
      </c>
      <c r="J27" s="4" t="inlineStr">
        <is>
          <t>Actual Reps</t>
        </is>
      </c>
      <c r="K27" s="4" t="inlineStr">
        <is>
          <t>Actual RPE</t>
        </is>
      </c>
      <c r="L27" s="4" t="inlineStr">
        <is>
          <t>Set Notes (how it felt, bar speed, pump, tweaks)</t>
        </is>
      </c>
    </row>
    <row r="28">
      <c r="A28" s="11" t="inlineStr">
        <is>
          <t>Deadlift</t>
        </is>
      </c>
      <c r="B28" s="12" t="inlineStr">
        <is>
          <t>1</t>
        </is>
      </c>
      <c r="C28" s="12" t="inlineStr">
        <is>
          <t>4</t>
        </is>
      </c>
      <c r="D28" s="12" t="inlineStr">
        <is>
          <t>75%</t>
        </is>
      </c>
      <c r="E28" s="12">
        <f>MROUND('Start Here'!$C$9*0.75,5)</f>
        <v/>
      </c>
      <c r="F28" s="12" t="inlineStr">
        <is>
          <t>8</t>
        </is>
      </c>
      <c r="G28" s="12" t="inlineStr">
        <is>
          <t>3-4 min</t>
        </is>
      </c>
      <c r="H28" s="8" t="inlineStr">
        <is>
          <t>Wedge hard, pull the slack out until the bar clicks, push the floor away. Hips and shoulders rise together. Reset every rep — no touch-and-go here.</t>
        </is>
      </c>
      <c r="I28" s="12" t="inlineStr"/>
      <c r="J28" s="12" t="inlineStr"/>
      <c r="K28" s="12" t="inlineStr"/>
      <c r="L28" s="8" t="inlineStr"/>
    </row>
    <row r="29">
      <c r="A29" s="11" t="inlineStr"/>
      <c r="B29" s="12" t="inlineStr">
        <is>
          <t>2</t>
        </is>
      </c>
      <c r="C29" s="12" t="inlineStr">
        <is>
          <t>4</t>
        </is>
      </c>
      <c r="D29" s="12" t="inlineStr">
        <is>
          <t>75%</t>
        </is>
      </c>
      <c r="E29" s="12">
        <f>MROUND('Start Here'!$C$9*0.75,5)</f>
        <v/>
      </c>
      <c r="F29" s="12" t="inlineStr">
        <is>
          <t>8</t>
        </is>
      </c>
      <c r="G29" s="12" t="inlineStr">
        <is>
          <t>3-4 min</t>
        </is>
      </c>
      <c r="H29" s="13" t="n"/>
      <c r="I29" s="12" t="inlineStr"/>
      <c r="J29" s="12" t="inlineStr"/>
      <c r="K29" s="12" t="inlineStr"/>
      <c r="L29" s="8" t="inlineStr"/>
    </row>
    <row r="30">
      <c r="A30" s="11" t="inlineStr"/>
      <c r="B30" s="12" t="inlineStr">
        <is>
          <t>3</t>
        </is>
      </c>
      <c r="C30" s="12" t="inlineStr">
        <is>
          <t>4</t>
        </is>
      </c>
      <c r="D30" s="12" t="inlineStr">
        <is>
          <t>75%</t>
        </is>
      </c>
      <c r="E30" s="12">
        <f>MROUND('Start Here'!$C$9*0.75,5)</f>
        <v/>
      </c>
      <c r="F30" s="12" t="inlineStr">
        <is>
          <t>8</t>
        </is>
      </c>
      <c r="G30" s="12" t="inlineStr">
        <is>
          <t>3-4 min</t>
        </is>
      </c>
      <c r="H30" s="14" t="n"/>
      <c r="I30" s="12" t="inlineStr"/>
      <c r="J30" s="12" t="inlineStr"/>
      <c r="K30" s="12" t="inlineStr"/>
      <c r="L30" s="8" t="inlineStr"/>
    </row>
    <row r="31">
      <c r="A31" s="11" t="inlineStr">
        <is>
          <t>Paused Squat (2-ct)</t>
        </is>
      </c>
      <c r="B31" s="12" t="inlineStr">
        <is>
          <t>1</t>
        </is>
      </c>
      <c r="C31" s="12" t="inlineStr">
        <is>
          <t>4</t>
        </is>
      </c>
      <c r="D31" s="12" t="inlineStr">
        <is>
          <t>67.5%</t>
        </is>
      </c>
      <c r="E31" s="12">
        <f>MROUND('Start Here'!$C$7*0.675,5)</f>
        <v/>
      </c>
      <c r="F31" s="12" t="inlineStr">
        <is>
          <t>8</t>
        </is>
      </c>
      <c r="G31" s="12" t="inlineStr">
        <is>
          <t>3-4 min</t>
        </is>
      </c>
      <c r="H31" s="8" t="inlineStr">
        <is>
          <t>2-second dead-stop in the hole, stay braced and upright, no bounce. Builds bottom-position strength and quad size. Own the pause — don't rush it.</t>
        </is>
      </c>
      <c r="I31" s="12" t="inlineStr"/>
      <c r="J31" s="12" t="inlineStr"/>
      <c r="K31" s="12" t="inlineStr"/>
      <c r="L31" s="8" t="inlineStr"/>
    </row>
    <row r="32">
      <c r="A32" s="11" t="inlineStr"/>
      <c r="B32" s="12" t="inlineStr">
        <is>
          <t>2</t>
        </is>
      </c>
      <c r="C32" s="12" t="inlineStr">
        <is>
          <t>4</t>
        </is>
      </c>
      <c r="D32" s="12" t="inlineStr">
        <is>
          <t>67.5%</t>
        </is>
      </c>
      <c r="E32" s="12">
        <f>MROUND('Start Here'!$C$7*0.675,5)</f>
        <v/>
      </c>
      <c r="F32" s="12" t="inlineStr">
        <is>
          <t>8</t>
        </is>
      </c>
      <c r="G32" s="12" t="inlineStr">
        <is>
          <t>3-4 min</t>
        </is>
      </c>
      <c r="H32" s="13" t="n"/>
      <c r="I32" s="12" t="inlineStr"/>
      <c r="J32" s="12" t="inlineStr"/>
      <c r="K32" s="12" t="inlineStr"/>
      <c r="L32" s="8" t="inlineStr"/>
    </row>
    <row r="33">
      <c r="A33" s="11" t="inlineStr"/>
      <c r="B33" s="12" t="inlineStr">
        <is>
          <t>3</t>
        </is>
      </c>
      <c r="C33" s="12" t="inlineStr">
        <is>
          <t>4</t>
        </is>
      </c>
      <c r="D33" s="12" t="inlineStr">
        <is>
          <t>67.5%</t>
        </is>
      </c>
      <c r="E33" s="12">
        <f>MROUND('Start Here'!$C$7*0.675,5)</f>
        <v/>
      </c>
      <c r="F33" s="12" t="inlineStr">
        <is>
          <t>8</t>
        </is>
      </c>
      <c r="G33" s="12" t="inlineStr">
        <is>
          <t>3-4 min</t>
        </is>
      </c>
      <c r="H33" s="14" t="n"/>
      <c r="I33" s="12" t="inlineStr"/>
      <c r="J33" s="12" t="inlineStr"/>
      <c r="K33" s="12" t="inlineStr"/>
      <c r="L33" s="8" t="inlineStr"/>
    </row>
    <row r="34" ht="42" customHeight="1">
      <c r="A34" s="15" t="inlineStr">
        <is>
          <t>Bulgarian Split Squat</t>
        </is>
      </c>
      <c r="B34" s="16" t="inlineStr">
        <is>
          <t>3</t>
        </is>
      </c>
      <c r="C34" s="16" t="inlineStr">
        <is>
          <t>8-10 /leg</t>
        </is>
      </c>
      <c r="D34" s="16" t="inlineStr">
        <is>
          <t>—</t>
        </is>
      </c>
      <c r="E34" s="16" t="inlineStr">
        <is>
          <t>Your pick</t>
        </is>
      </c>
      <c r="F34" s="16" t="inlineStr">
        <is>
          <t>8</t>
        </is>
      </c>
      <c r="G34" s="16" t="inlineStr">
        <is>
          <t>2 min</t>
        </is>
      </c>
      <c r="H34" s="17" t="inlineStr">
        <is>
          <t>Rear foot elevated, slight forward lean for glutes, upright for quads — pick your target. This is your athleticism builder: balance, single-leg strength, hip stability. Start with 40-50 lb DBs.</t>
        </is>
      </c>
      <c r="I34" s="16" t="inlineStr"/>
      <c r="J34" s="16" t="inlineStr"/>
      <c r="K34" s="16" t="inlineStr"/>
      <c r="L34" s="17" t="inlineStr"/>
    </row>
    <row r="35" ht="42" customHeight="1">
      <c r="A35" s="11" t="inlineStr">
        <is>
          <t>Back Extension (glute bias)</t>
        </is>
      </c>
      <c r="B35" s="12" t="inlineStr">
        <is>
          <t>3</t>
        </is>
      </c>
      <c r="C35" s="12" t="inlineStr">
        <is>
          <t>12-15</t>
        </is>
      </c>
      <c r="D35" s="12" t="inlineStr">
        <is>
          <t>—</t>
        </is>
      </c>
      <c r="E35" s="12" t="inlineStr">
        <is>
          <t>Your pick</t>
        </is>
      </c>
      <c r="F35" s="12" t="inlineStr">
        <is>
          <t>8-9</t>
        </is>
      </c>
      <c r="G35" s="12" t="inlineStr">
        <is>
          <t>90 sec</t>
        </is>
      </c>
      <c r="H35" s="8" t="inlineStr">
        <is>
          <t>Round upper back slightly, tuck chin, squeeze glutes to lift — don't hyperextend the spine. Hold a plate when 15 gets easy.</t>
        </is>
      </c>
      <c r="I35" s="12" t="inlineStr"/>
      <c r="J35" s="12" t="inlineStr"/>
      <c r="K35" s="12" t="inlineStr"/>
      <c r="L35" s="8" t="inlineStr"/>
    </row>
    <row r="36" ht="42" customHeight="1">
      <c r="A36" s="15" t="inlineStr">
        <is>
          <t>Walking DB Lunge</t>
        </is>
      </c>
      <c r="B36" s="16" t="inlineStr">
        <is>
          <t>2</t>
        </is>
      </c>
      <c r="C36" s="16" t="inlineStr">
        <is>
          <t>20 steps</t>
        </is>
      </c>
      <c r="D36" s="16" t="inlineStr">
        <is>
          <t>—</t>
        </is>
      </c>
      <c r="E36" s="16" t="inlineStr">
        <is>
          <t>Your pick</t>
        </is>
      </c>
      <c r="F36" s="16" t="inlineStr">
        <is>
          <t>8</t>
        </is>
      </c>
      <c r="G36" s="16" t="inlineStr">
        <is>
          <t>2 min</t>
        </is>
      </c>
      <c r="H36" s="17" t="inlineStr">
        <is>
          <t>Long strides, soft knee touch, continuous walking. Brutal and athletic. Light DBs are plenty after everything else.</t>
        </is>
      </c>
      <c r="I36" s="16" t="inlineStr"/>
      <c r="J36" s="16" t="inlineStr"/>
      <c r="K36" s="16" t="inlineStr"/>
      <c r="L36" s="17" t="inlineStr"/>
    </row>
    <row r="37" ht="42" customHeight="1">
      <c r="A37" s="11" t="inlineStr">
        <is>
          <t>Seated Calf Raise</t>
        </is>
      </c>
      <c r="B37" s="12" t="inlineStr">
        <is>
          <t>4</t>
        </is>
      </c>
      <c r="C37" s="12" t="inlineStr">
        <is>
          <t>12-15</t>
        </is>
      </c>
      <c r="D37" s="12" t="inlineStr">
        <is>
          <t>—</t>
        </is>
      </c>
      <c r="E37" s="12" t="inlineStr">
        <is>
          <t>Your pick</t>
        </is>
      </c>
      <c r="F37" s="12" t="inlineStr">
        <is>
          <t>8-9</t>
        </is>
      </c>
      <c r="G37" s="12" t="inlineStr">
        <is>
          <t>60-90 sec</t>
        </is>
      </c>
      <c r="H37" s="8" t="inlineStr">
        <is>
          <t>Soleus focus. Slow 3-sec negative, deep stretch, pause at top.</t>
        </is>
      </c>
      <c r="I37" s="12" t="inlineStr"/>
      <c r="J37" s="12" t="inlineStr"/>
      <c r="K37" s="12" t="inlineStr"/>
      <c r="L37" s="8" t="inlineStr"/>
    </row>
    <row r="38" ht="42" customHeight="1">
      <c r="A38" s="15" t="inlineStr">
        <is>
          <t>Hanging Leg Raise</t>
        </is>
      </c>
      <c r="B38" s="16" t="inlineStr">
        <is>
          <t>3</t>
        </is>
      </c>
      <c r="C38" s="16" t="inlineStr">
        <is>
          <t>10-15</t>
        </is>
      </c>
      <c r="D38" s="16" t="inlineStr">
        <is>
          <t>—</t>
        </is>
      </c>
      <c r="E38" s="16" t="inlineStr">
        <is>
          <t>Your pick</t>
        </is>
      </c>
      <c r="F38" s="16" t="inlineStr">
        <is>
          <t>8</t>
        </is>
      </c>
      <c r="G38" s="16" t="inlineStr">
        <is>
          <t>90 sec</t>
        </is>
      </c>
      <c r="H38" s="17" t="inlineStr">
        <is>
          <t>Posterior pelvic tilt at the top — curl the pelvis up, don't just swing the legs. Bend knees if needed.</t>
        </is>
      </c>
      <c r="I38" s="16" t="inlineStr"/>
      <c r="J38" s="16" t="inlineStr"/>
      <c r="K38" s="16" t="inlineStr"/>
      <c r="L38" s="17" t="inlineStr"/>
    </row>
    <row r="40" ht="20" customHeight="1">
      <c r="A40" s="10" t="inlineStr">
        <is>
          <t>SUNDAY — UPPER B: VOLUME BENCH + PUMP DAY  (long session — chase the pump)</t>
        </is>
      </c>
    </row>
    <row r="41">
      <c r="A41" s="4" t="inlineStr">
        <is>
          <t>Exercise</t>
        </is>
      </c>
      <c r="B41" s="4" t="inlineStr">
        <is>
          <t>Set</t>
        </is>
      </c>
      <c r="C41" s="4" t="inlineStr">
        <is>
          <t>Target Reps</t>
        </is>
      </c>
      <c r="D41" s="4" t="inlineStr">
        <is>
          <t>%1RM</t>
        </is>
      </c>
      <c r="E41" s="4" t="inlineStr">
        <is>
          <t>Target Weight</t>
        </is>
      </c>
      <c r="F41" s="4" t="inlineStr">
        <is>
          <t>Target RPE</t>
        </is>
      </c>
      <c r="G41" s="4" t="inlineStr">
        <is>
          <t>Rest</t>
        </is>
      </c>
      <c r="H41" s="4" t="inlineStr">
        <is>
          <t>Coaching Cues / Special Instructions</t>
        </is>
      </c>
      <c r="I41" s="4" t="inlineStr">
        <is>
          <t>Actual Weight</t>
        </is>
      </c>
      <c r="J41" s="4" t="inlineStr">
        <is>
          <t>Actual Reps</t>
        </is>
      </c>
      <c r="K41" s="4" t="inlineStr">
        <is>
          <t>Actual RPE</t>
        </is>
      </c>
      <c r="L41" s="4" t="inlineStr">
        <is>
          <t>Set Notes (how it felt, bar speed, pump, tweaks)</t>
        </is>
      </c>
    </row>
    <row r="42">
      <c r="A42" s="11" t="inlineStr">
        <is>
          <t>Touch-and-Go Bench</t>
        </is>
      </c>
      <c r="B42" s="12" t="inlineStr">
        <is>
          <t>1</t>
        </is>
      </c>
      <c r="C42" s="12" t="inlineStr">
        <is>
          <t>8</t>
        </is>
      </c>
      <c r="D42" s="12" t="inlineStr">
        <is>
          <t>70%</t>
        </is>
      </c>
      <c r="E42" s="12">
        <f>MROUND('Start Here'!$C$8*0.7,5)</f>
        <v/>
      </c>
      <c r="F42" s="12" t="inlineStr">
        <is>
          <t>8</t>
        </is>
      </c>
      <c r="G42" s="12" t="inlineStr">
        <is>
          <t>3-4 min</t>
        </is>
      </c>
      <c r="H42" s="8" t="inlineStr">
        <is>
          <t>Smooth touch, no bounce off the chest. Slight tuck, squeeze pecs hard at lockout each rep. This is a muscle set, not a strength test — chase the pec pump.</t>
        </is>
      </c>
      <c r="I42" s="12" t="inlineStr"/>
      <c r="J42" s="12" t="inlineStr"/>
      <c r="K42" s="12" t="inlineStr"/>
      <c r="L42" s="8" t="inlineStr"/>
    </row>
    <row r="43">
      <c r="A43" s="11" t="inlineStr"/>
      <c r="B43" s="12" t="inlineStr">
        <is>
          <t>2</t>
        </is>
      </c>
      <c r="C43" s="12" t="inlineStr">
        <is>
          <t>8</t>
        </is>
      </c>
      <c r="D43" s="12" t="inlineStr">
        <is>
          <t>70%</t>
        </is>
      </c>
      <c r="E43" s="12">
        <f>MROUND('Start Here'!$C$8*0.7,5)</f>
        <v/>
      </c>
      <c r="F43" s="12" t="inlineStr">
        <is>
          <t>8</t>
        </is>
      </c>
      <c r="G43" s="12" t="inlineStr">
        <is>
          <t>3-4 min</t>
        </is>
      </c>
      <c r="H43" s="13" t="n"/>
      <c r="I43" s="12" t="inlineStr"/>
      <c r="J43" s="12" t="inlineStr"/>
      <c r="K43" s="12" t="inlineStr"/>
      <c r="L43" s="8" t="inlineStr"/>
    </row>
    <row r="44">
      <c r="A44" s="11" t="inlineStr"/>
      <c r="B44" s="12" t="inlineStr">
        <is>
          <t>3</t>
        </is>
      </c>
      <c r="C44" s="12" t="inlineStr">
        <is>
          <t>8</t>
        </is>
      </c>
      <c r="D44" s="12" t="inlineStr">
        <is>
          <t>70%</t>
        </is>
      </c>
      <c r="E44" s="12">
        <f>MROUND('Start Here'!$C$8*0.7,5)</f>
        <v/>
      </c>
      <c r="F44" s="12" t="inlineStr">
        <is>
          <t>8</t>
        </is>
      </c>
      <c r="G44" s="12" t="inlineStr">
        <is>
          <t>3-4 min</t>
        </is>
      </c>
      <c r="H44" s="13" t="n"/>
      <c r="I44" s="12" t="inlineStr"/>
      <c r="J44" s="12" t="inlineStr"/>
      <c r="K44" s="12" t="inlineStr"/>
      <c r="L44" s="8" t="inlineStr"/>
    </row>
    <row r="45">
      <c r="A45" s="11" t="inlineStr"/>
      <c r="B45" s="12" t="inlineStr">
        <is>
          <t>4</t>
        </is>
      </c>
      <c r="C45" s="12" t="inlineStr">
        <is>
          <t>8</t>
        </is>
      </c>
      <c r="D45" s="12" t="inlineStr">
        <is>
          <t>70%</t>
        </is>
      </c>
      <c r="E45" s="12">
        <f>MROUND('Start Here'!$C$8*0.7,5)</f>
        <v/>
      </c>
      <c r="F45" s="12" t="inlineStr">
        <is>
          <t>8</t>
        </is>
      </c>
      <c r="G45" s="12" t="inlineStr">
        <is>
          <t>3-4 min</t>
        </is>
      </c>
      <c r="H45" s="14" t="n"/>
      <c r="I45" s="12" t="inlineStr"/>
      <c r="J45" s="12" t="inlineStr"/>
      <c r="K45" s="12" t="inlineStr"/>
      <c r="L45" s="8" t="inlineStr"/>
    </row>
    <row r="46" ht="42" customHeight="1">
      <c r="A46" s="15" t="inlineStr">
        <is>
          <t>Incline DB Press (30°)</t>
        </is>
      </c>
      <c r="B46" s="16" t="inlineStr">
        <is>
          <t>3</t>
        </is>
      </c>
      <c r="C46" s="16" t="inlineStr">
        <is>
          <t>10-12</t>
        </is>
      </c>
      <c r="D46" s="16" t="inlineStr">
        <is>
          <t>—</t>
        </is>
      </c>
      <c r="E46" s="16" t="inlineStr">
        <is>
          <t>Your pick</t>
        </is>
      </c>
      <c r="F46" s="16" t="inlineStr">
        <is>
          <t>8</t>
        </is>
      </c>
      <c r="G46" s="16" t="inlineStr">
        <is>
          <t>2 min</t>
        </is>
      </c>
      <c r="H46" s="17" t="inlineStr">
        <is>
          <t>Deep stretch at the bottom, press up-and-in, squeeze upper pecs at top. Don't touch the DBs together hard — keep tension. Start ~75-85s.</t>
        </is>
      </c>
      <c r="I46" s="16" t="inlineStr"/>
      <c r="J46" s="16" t="inlineStr"/>
      <c r="K46" s="16" t="inlineStr"/>
      <c r="L46" s="17" t="inlineStr"/>
    </row>
    <row r="47" ht="42" customHeight="1">
      <c r="A47" s="11" t="inlineStr">
        <is>
          <t>Lat Pulldown (neutral wide)</t>
        </is>
      </c>
      <c r="B47" s="12" t="inlineStr">
        <is>
          <t>4</t>
        </is>
      </c>
      <c r="C47" s="12" t="inlineStr">
        <is>
          <t>10-12</t>
        </is>
      </c>
      <c r="D47" s="12" t="inlineStr">
        <is>
          <t>—</t>
        </is>
      </c>
      <c r="E47" s="12" t="inlineStr">
        <is>
          <t>Your pick</t>
        </is>
      </c>
      <c r="F47" s="12" t="inlineStr">
        <is>
          <t>8</t>
        </is>
      </c>
      <c r="G47" s="12" t="inlineStr">
        <is>
          <t>90 sec</t>
        </is>
      </c>
      <c r="H47" s="8" t="inlineStr">
        <is>
          <t>Drive elbows down and back, pause 1 sec at the chest, 3-sec controlled return. Think 'elbows in back pockets' — feel the lats, not the arms.</t>
        </is>
      </c>
      <c r="I47" s="12" t="inlineStr"/>
      <c r="J47" s="12" t="inlineStr"/>
      <c r="K47" s="12" t="inlineStr"/>
      <c r="L47" s="8" t="inlineStr"/>
    </row>
    <row r="48" ht="42" customHeight="1">
      <c r="A48" s="15" t="inlineStr">
        <is>
          <t>Single-Arm Cable Row</t>
        </is>
      </c>
      <c r="B48" s="16" t="inlineStr">
        <is>
          <t>3</t>
        </is>
      </c>
      <c r="C48" s="16" t="inlineStr">
        <is>
          <t>10-12 /arm</t>
        </is>
      </c>
      <c r="D48" s="16" t="inlineStr">
        <is>
          <t>—</t>
        </is>
      </c>
      <c r="E48" s="16" t="inlineStr">
        <is>
          <t>Your pick</t>
        </is>
      </c>
      <c r="F48" s="16" t="inlineStr">
        <is>
          <t>8</t>
        </is>
      </c>
      <c r="G48" s="16" t="inlineStr">
        <is>
          <t>90 sec</t>
        </is>
      </c>
      <c r="H48" s="17" t="inlineStr">
        <is>
          <t>Allow a full stretch and slight rotation forward, then row and squeeze. One side at a time = maximum mind-muscle connection.</t>
        </is>
      </c>
      <c r="I48" s="16" t="inlineStr"/>
      <c r="J48" s="16" t="inlineStr"/>
      <c r="K48" s="16" t="inlineStr"/>
      <c r="L48" s="17" t="inlineStr"/>
    </row>
    <row r="49" ht="42" customHeight="1">
      <c r="A49" s="11" t="inlineStr">
        <is>
          <t>DB Lateral Raise</t>
        </is>
      </c>
      <c r="B49" s="12" t="inlineStr">
        <is>
          <t>4</t>
        </is>
      </c>
      <c r="C49" s="12" t="inlineStr">
        <is>
          <t>12-15</t>
        </is>
      </c>
      <c r="D49" s="12" t="inlineStr">
        <is>
          <t>—</t>
        </is>
      </c>
      <c r="E49" s="12" t="inlineStr">
        <is>
          <t>Your pick</t>
        </is>
      </c>
      <c r="F49" s="12" t="inlineStr">
        <is>
          <t>9</t>
        </is>
      </c>
      <c r="G49" s="12" t="inlineStr">
        <is>
          <t>60-75 sec</t>
        </is>
      </c>
      <c r="H49" s="8" t="inlineStr">
        <is>
          <t>Lead with the elbows, tilt pinkies slightly up, stop at shoulder height. Weeks 3 &amp; 7: drop-set the last set (drop ~40%, rep to near-failure). Side delts make you look athletic in a t-shirt.</t>
        </is>
      </c>
      <c r="I49" s="12" t="inlineStr"/>
      <c r="J49" s="12" t="inlineStr"/>
      <c r="K49" s="12" t="inlineStr"/>
      <c r="L49" s="8" t="inlineStr"/>
    </row>
    <row r="50" ht="42" customHeight="1">
      <c r="A50" s="15" t="inlineStr">
        <is>
          <t>Cable Fly (low-to-high or pec deck)</t>
        </is>
      </c>
      <c r="B50" s="16" t="inlineStr">
        <is>
          <t>3</t>
        </is>
      </c>
      <c r="C50" s="16" t="inlineStr">
        <is>
          <t>12-15</t>
        </is>
      </c>
      <c r="D50" s="16" t="inlineStr">
        <is>
          <t>—</t>
        </is>
      </c>
      <c r="E50" s="16" t="inlineStr">
        <is>
          <t>Your pick</t>
        </is>
      </c>
      <c r="F50" s="16" t="inlineStr">
        <is>
          <t>8-9</t>
        </is>
      </c>
      <c r="G50" s="16" t="inlineStr">
        <is>
          <t>60-90 sec</t>
        </is>
      </c>
      <c r="H50" s="17" t="inlineStr">
        <is>
          <t>Big stretch, hug a barrel, squeeze pecs together for a 1-count. Pure pump work — moderate weight, perfect reps.</t>
        </is>
      </c>
      <c r="I50" s="16" t="inlineStr"/>
      <c r="J50" s="16" t="inlineStr"/>
      <c r="K50" s="16" t="inlineStr"/>
      <c r="L50" s="17" t="inlineStr"/>
    </row>
    <row r="51" ht="42" customHeight="1">
      <c r="A51" s="11" t="inlineStr">
        <is>
          <t>SUPERSET: Incline DB Curl + Lying DB Skullcrusher</t>
        </is>
      </c>
      <c r="B51" s="12" t="inlineStr">
        <is>
          <t>3</t>
        </is>
      </c>
      <c r="C51" s="12" t="inlineStr">
        <is>
          <t>10-12 each</t>
        </is>
      </c>
      <c r="D51" s="12" t="inlineStr">
        <is>
          <t>—</t>
        </is>
      </c>
      <c r="E51" s="12" t="inlineStr">
        <is>
          <t>Your pick</t>
        </is>
      </c>
      <c r="F51" s="12" t="inlineStr">
        <is>
          <t>8-9</t>
        </is>
      </c>
      <c r="G51" s="12" t="inlineStr">
        <is>
          <t>90 sec after pair</t>
        </is>
      </c>
      <c r="H51" s="8" t="inlineStr">
        <is>
          <t>Incline curls: full stretch at the bottom, biceps long-head heaven. Skullcrushers: lower behind the head slightly for more stretch.</t>
        </is>
      </c>
      <c r="I51" s="12" t="inlineStr"/>
      <c r="J51" s="12" t="inlineStr"/>
      <c r="K51" s="12" t="inlineStr"/>
      <c r="L51" s="8" t="inlineStr"/>
    </row>
    <row r="52" ht="42" customHeight="1">
      <c r="A52" s="15" t="inlineStr">
        <is>
          <t>SUPERSET: Hammer Curl + Rope Pressdown</t>
        </is>
      </c>
      <c r="B52" s="16" t="inlineStr">
        <is>
          <t>2</t>
        </is>
      </c>
      <c r="C52" s="16" t="inlineStr">
        <is>
          <t>12-15 each</t>
        </is>
      </c>
      <c r="D52" s="16" t="inlineStr">
        <is>
          <t>—</t>
        </is>
      </c>
      <c r="E52" s="16" t="inlineStr">
        <is>
          <t>Your pick</t>
        </is>
      </c>
      <c r="F52" s="16" t="inlineStr">
        <is>
          <t>9</t>
        </is>
      </c>
      <c r="G52" s="16" t="inlineStr">
        <is>
          <t>60 sec after pair</t>
        </is>
      </c>
      <c r="H52" s="17" t="inlineStr">
        <is>
          <t>Finisher — chase the arm pump. Strict form, short rests, walk out with sleeves tight.</t>
        </is>
      </c>
      <c r="I52" s="16" t="inlineStr"/>
      <c r="J52" s="16" t="inlineStr"/>
      <c r="K52" s="16" t="inlineStr"/>
      <c r="L52" s="17" t="inlineStr"/>
    </row>
    <row r="53" ht="42" customHeight="1">
      <c r="A53" s="11" t="inlineStr">
        <is>
          <t>Reverse Pec Deck (rear delts)</t>
        </is>
      </c>
      <c r="B53" s="12" t="inlineStr">
        <is>
          <t>3</t>
        </is>
      </c>
      <c r="C53" s="12" t="inlineStr">
        <is>
          <t>15-20</t>
        </is>
      </c>
      <c r="D53" s="12" t="inlineStr">
        <is>
          <t>—</t>
        </is>
      </c>
      <c r="E53" s="12" t="inlineStr">
        <is>
          <t>Your pick</t>
        </is>
      </c>
      <c r="F53" s="12" t="inlineStr">
        <is>
          <t>8-9</t>
        </is>
      </c>
      <c r="G53" s="12" t="inlineStr">
        <is>
          <t>60 sec</t>
        </is>
      </c>
      <c r="H53" s="8" t="inlineStr">
        <is>
          <t>Lead with elbows out, don't squeeze shoulder blades — keep it in the rear delts. Posture, shoulder health, 3-D delts.</t>
        </is>
      </c>
      <c r="I53" s="12" t="inlineStr"/>
      <c r="J53" s="12" t="inlineStr"/>
      <c r="K53" s="12" t="inlineStr"/>
      <c r="L53" s="8" t="inlineStr"/>
    </row>
  </sheetData>
  <mergeCells count="10">
    <mergeCell ref="A26:L26"/>
    <mergeCell ref="A2:L2"/>
    <mergeCell ref="H4:H7"/>
    <mergeCell ref="A1:L1"/>
    <mergeCell ref="H16:H19"/>
    <mergeCell ref="A14:L14"/>
    <mergeCell ref="H42:H45"/>
    <mergeCell ref="H28:H30"/>
    <mergeCell ref="A40:L40"/>
    <mergeCell ref="H31:H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8"/>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18" t="inlineStr">
        <is>
          <t>FORGED 4-DAY POWERBUILDER  —  WEEK 4   |   BLOCK 1: VOLUME &amp; MOVEMENT QUALITY  •  DELOAD WEEK — recover, move fast, leave feeling fresh</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9" t="inlineStr">
        <is>
          <t>Competition Squat</t>
        </is>
      </c>
      <c r="B4" s="20" t="inlineStr">
        <is>
          <t>1</t>
        </is>
      </c>
      <c r="C4" s="20" t="inlineStr">
        <is>
          <t>5</t>
        </is>
      </c>
      <c r="D4" s="20" t="inlineStr">
        <is>
          <t>60%</t>
        </is>
      </c>
      <c r="E4" s="20">
        <f>MROUND('Start Here'!$C$7*0.6,5)</f>
        <v/>
      </c>
      <c r="F4" s="20" t="inlineStr">
        <is>
          <t>≤6</t>
        </is>
      </c>
      <c r="G4" s="20" t="inlineStr">
        <is>
          <t>3-4 min</t>
        </is>
      </c>
      <c r="H4" s="21" t="inlineStr">
        <is>
          <t>Full comp setup every set: same walkout, same bracing. Big 360° breath, spread the floor, drive up through mid-foot. Treat every rep like a platform rep.  DELOAD — crisp bar speed, nothing grindy.</t>
        </is>
      </c>
      <c r="I4" s="20" t="inlineStr"/>
      <c r="J4" s="20" t="inlineStr"/>
      <c r="K4" s="20" t="inlineStr"/>
      <c r="L4" s="21" t="inlineStr"/>
    </row>
    <row r="5">
      <c r="A5" s="19" t="inlineStr"/>
      <c r="B5" s="20" t="inlineStr">
        <is>
          <t>2</t>
        </is>
      </c>
      <c r="C5" s="20" t="inlineStr">
        <is>
          <t>5</t>
        </is>
      </c>
      <c r="D5" s="20" t="inlineStr">
        <is>
          <t>60%</t>
        </is>
      </c>
      <c r="E5" s="20">
        <f>MROUND('Start Here'!$C$7*0.6,5)</f>
        <v/>
      </c>
      <c r="F5" s="20" t="inlineStr">
        <is>
          <t>≤6</t>
        </is>
      </c>
      <c r="G5" s="20" t="inlineStr">
        <is>
          <t>3-4 min</t>
        </is>
      </c>
      <c r="H5" s="13" t="n"/>
      <c r="I5" s="20" t="inlineStr"/>
      <c r="J5" s="20" t="inlineStr"/>
      <c r="K5" s="20" t="inlineStr"/>
      <c r="L5" s="21" t="inlineStr"/>
    </row>
    <row r="6">
      <c r="A6" s="19" t="inlineStr"/>
      <c r="B6" s="20" t="inlineStr">
        <is>
          <t>3</t>
        </is>
      </c>
      <c r="C6" s="20" t="inlineStr">
        <is>
          <t>5</t>
        </is>
      </c>
      <c r="D6" s="20" t="inlineStr">
        <is>
          <t>60%</t>
        </is>
      </c>
      <c r="E6" s="20">
        <f>MROUND('Start Here'!$C$7*0.6,5)</f>
        <v/>
      </c>
      <c r="F6" s="20" t="inlineStr">
        <is>
          <t>≤6</t>
        </is>
      </c>
      <c r="G6" s="20" t="inlineStr">
        <is>
          <t>3-4 min</t>
        </is>
      </c>
      <c r="H6" s="14" t="n"/>
      <c r="I6" s="20" t="inlineStr"/>
      <c r="J6" s="20" t="inlineStr"/>
      <c r="K6" s="20" t="inlineStr"/>
      <c r="L6" s="21" t="inlineStr"/>
    </row>
    <row r="7" ht="42" customHeight="1">
      <c r="A7" s="19" t="inlineStr">
        <is>
          <t>Romanian Deadlift</t>
        </is>
      </c>
      <c r="B7" s="20" t="inlineStr">
        <is>
          <t>2</t>
        </is>
      </c>
      <c r="C7" s="20" t="inlineStr">
        <is>
          <t>8-10</t>
        </is>
      </c>
      <c r="D7" s="20" t="inlineStr">
        <is>
          <t>—</t>
        </is>
      </c>
      <c r="E7" s="20" t="inlineStr">
        <is>
          <t>Your pick</t>
        </is>
      </c>
      <c r="F7" s="20" t="inlineStr">
        <is>
          <t>6-7</t>
        </is>
      </c>
      <c r="G7" s="20" t="inlineStr">
        <is>
          <t>2-3 min</t>
        </is>
      </c>
      <c r="H7" s="21" t="inlineStr">
        <is>
          <t>DELOAD: 2 easy sets, stay 3-4 reps from failure. Soft knees, push hips back until hamstrings scream, bar drags the thighs. Start ~185-225 and add when all sets hit 10. Feel the stretch — that's the growth signal.</t>
        </is>
      </c>
      <c r="I7" s="20" t="inlineStr"/>
      <c r="J7" s="20" t="inlineStr"/>
      <c r="K7" s="20" t="inlineStr"/>
      <c r="L7" s="21" t="inlineStr"/>
    </row>
    <row r="8" ht="42" customHeight="1">
      <c r="A8" s="19" t="inlineStr">
        <is>
          <t>Leg Press (feet low &amp; narrow)</t>
        </is>
      </c>
      <c r="B8" s="20" t="inlineStr">
        <is>
          <t>2</t>
        </is>
      </c>
      <c r="C8" s="20" t="inlineStr">
        <is>
          <t>10-12</t>
        </is>
      </c>
      <c r="D8" s="20" t="inlineStr">
        <is>
          <t>—</t>
        </is>
      </c>
      <c r="E8" s="20" t="inlineStr">
        <is>
          <t>Your pick</t>
        </is>
      </c>
      <c r="F8" s="20" t="inlineStr">
        <is>
          <t>6-7</t>
        </is>
      </c>
      <c r="G8" s="20" t="inlineStr">
        <is>
          <t>2 min</t>
        </is>
      </c>
      <c r="H8" s="21" t="inlineStr">
        <is>
          <t>DELOAD: 2 easy sets, stay 3-4 reps from failure. Quad-bias stance. Full depth without butt tucking, 2-sec lowering. Drive knees over toes. Don't chase plates — chase the quad burn.</t>
        </is>
      </c>
      <c r="I8" s="20" t="inlineStr"/>
      <c r="J8" s="20" t="inlineStr"/>
      <c r="K8" s="20" t="inlineStr"/>
      <c r="L8" s="21" t="inlineStr"/>
    </row>
    <row r="9" ht="42" customHeight="1">
      <c r="A9" s="19" t="inlineStr">
        <is>
          <t>Seated Leg Curl</t>
        </is>
      </c>
      <c r="B9" s="20" t="inlineStr">
        <is>
          <t>2</t>
        </is>
      </c>
      <c r="C9" s="20" t="inlineStr">
        <is>
          <t>12-15</t>
        </is>
      </c>
      <c r="D9" s="20" t="inlineStr">
        <is>
          <t>—</t>
        </is>
      </c>
      <c r="E9" s="20" t="inlineStr">
        <is>
          <t>Your pick</t>
        </is>
      </c>
      <c r="F9" s="20" t="inlineStr">
        <is>
          <t>6-7</t>
        </is>
      </c>
      <c r="G9" s="20" t="inlineStr">
        <is>
          <t>90 sec</t>
        </is>
      </c>
      <c r="H9" s="21" t="inlineStr">
        <is>
          <t>DELOAD: 2 easy sets, stay 3-4 reps from failure. Lean torso forward slightly for a longer hamstring stretch. Squeeze 1 sec at full flexion, 3-sec lowering.</t>
        </is>
      </c>
      <c r="I9" s="20" t="inlineStr"/>
      <c r="J9" s="20" t="inlineStr"/>
      <c r="K9" s="20" t="inlineStr"/>
      <c r="L9" s="21" t="inlineStr"/>
    </row>
    <row r="10" ht="42" customHeight="1">
      <c r="A10" s="19" t="inlineStr">
        <is>
          <t>Standing Calf Raise</t>
        </is>
      </c>
      <c r="B10" s="20" t="inlineStr">
        <is>
          <t>2</t>
        </is>
      </c>
      <c r="C10" s="20" t="inlineStr">
        <is>
          <t>10-12</t>
        </is>
      </c>
      <c r="D10" s="20" t="inlineStr">
        <is>
          <t>—</t>
        </is>
      </c>
      <c r="E10" s="20" t="inlineStr">
        <is>
          <t>Your pick</t>
        </is>
      </c>
      <c r="F10" s="20" t="inlineStr">
        <is>
          <t>6-7</t>
        </is>
      </c>
      <c r="G10" s="20" t="inlineStr">
        <is>
          <t>90 sec</t>
        </is>
      </c>
      <c r="H10" s="21" t="inlineStr">
        <is>
          <t>DELOAD: 2 easy sets, stay 3-4 reps from failure. Full stretch at the bottom for a 2-count, drive through the big toe, pause at the top. No bouncing.</t>
        </is>
      </c>
      <c r="I10" s="20" t="inlineStr"/>
      <c r="J10" s="20" t="inlineStr"/>
      <c r="K10" s="20" t="inlineStr"/>
      <c r="L10" s="21" t="inlineStr"/>
    </row>
    <row r="11" ht="42" customHeight="1">
      <c r="A11" s="19" t="inlineStr">
        <is>
          <t>Cable Crunch</t>
        </is>
      </c>
      <c r="B11" s="20" t="inlineStr">
        <is>
          <t>2</t>
        </is>
      </c>
      <c r="C11" s="20" t="inlineStr">
        <is>
          <t>12-15</t>
        </is>
      </c>
      <c r="D11" s="20" t="inlineStr">
        <is>
          <t>—</t>
        </is>
      </c>
      <c r="E11" s="20" t="inlineStr">
        <is>
          <t>Your pick</t>
        </is>
      </c>
      <c r="F11" s="20" t="inlineStr">
        <is>
          <t>6-7</t>
        </is>
      </c>
      <c r="G11" s="20" t="inlineStr">
        <is>
          <t>60-90 sec</t>
        </is>
      </c>
      <c r="H11" s="21" t="inlineStr">
        <is>
          <t>DELOAD: 2 easy sets, stay 3-4 reps from failure. Flex the spine — ribs to hips, don't just bow at the waist. Strong abs = strong squat brace.</t>
        </is>
      </c>
      <c r="I11" s="20" t="inlineStr"/>
      <c r="J11" s="20" t="inlineStr"/>
      <c r="K11" s="20" t="inlineStr"/>
      <c r="L11" s="21" t="inlineStr"/>
    </row>
    <row r="13" ht="20" customHeight="1">
      <c r="A13" s="10" t="inlineStr">
        <is>
          <t>THURSDAY — UPPER A: BENCH STRENGTH + BACK  (target: ≤85 min)</t>
        </is>
      </c>
    </row>
    <row r="14">
      <c r="A14" s="4" t="inlineStr">
        <is>
          <t>Exercise</t>
        </is>
      </c>
      <c r="B14" s="4" t="inlineStr">
        <is>
          <t>Set</t>
        </is>
      </c>
      <c r="C14" s="4" t="inlineStr">
        <is>
          <t>Target Reps</t>
        </is>
      </c>
      <c r="D14" s="4" t="inlineStr">
        <is>
          <t>%1RM</t>
        </is>
      </c>
      <c r="E14" s="4" t="inlineStr">
        <is>
          <t>Target Weight</t>
        </is>
      </c>
      <c r="F14" s="4" t="inlineStr">
        <is>
          <t>Target RPE</t>
        </is>
      </c>
      <c r="G14" s="4" t="inlineStr">
        <is>
          <t>Rest</t>
        </is>
      </c>
      <c r="H14" s="4" t="inlineStr">
        <is>
          <t>Coaching Cues / Special Instructions</t>
        </is>
      </c>
      <c r="I14" s="4" t="inlineStr">
        <is>
          <t>Actual Weight</t>
        </is>
      </c>
      <c r="J14" s="4" t="inlineStr">
        <is>
          <t>Actual Reps</t>
        </is>
      </c>
      <c r="K14" s="4" t="inlineStr">
        <is>
          <t>Actual RPE</t>
        </is>
      </c>
      <c r="L14" s="4" t="inlineStr">
        <is>
          <t>Set Notes (how it felt, bar speed, pump, tweaks)</t>
        </is>
      </c>
    </row>
    <row r="15">
      <c r="A15" s="19" t="inlineStr">
        <is>
          <t>Competition Bench</t>
        </is>
      </c>
      <c r="B15" s="20" t="inlineStr">
        <is>
          <t>1</t>
        </is>
      </c>
      <c r="C15" s="20" t="inlineStr">
        <is>
          <t>5</t>
        </is>
      </c>
      <c r="D15" s="20" t="inlineStr">
        <is>
          <t>60%</t>
        </is>
      </c>
      <c r="E15" s="20">
        <f>MROUND('Start Here'!$C$8*0.6,5)</f>
        <v/>
      </c>
      <c r="F15" s="20" t="inlineStr">
        <is>
          <t>≤6</t>
        </is>
      </c>
      <c r="G15" s="20" t="inlineStr">
        <is>
          <t>3-4 min</t>
        </is>
      </c>
      <c r="H15" s="21" t="inlineStr">
        <is>
          <t>Comp pause on every rep this day. Set your arch, pull the bar apart, tuck elbows ~45°, press back over your face. Leg drive on.  DELOAD — perfect technique reps only.</t>
        </is>
      </c>
      <c r="I15" s="20" t="inlineStr"/>
      <c r="J15" s="20" t="inlineStr"/>
      <c r="K15" s="20" t="inlineStr"/>
      <c r="L15" s="21" t="inlineStr"/>
    </row>
    <row r="16">
      <c r="A16" s="19" t="inlineStr"/>
      <c r="B16" s="20" t="inlineStr">
        <is>
          <t>2</t>
        </is>
      </c>
      <c r="C16" s="20" t="inlineStr">
        <is>
          <t>5</t>
        </is>
      </c>
      <c r="D16" s="20" t="inlineStr">
        <is>
          <t>60%</t>
        </is>
      </c>
      <c r="E16" s="20">
        <f>MROUND('Start Here'!$C$8*0.6,5)</f>
        <v/>
      </c>
      <c r="F16" s="20" t="inlineStr">
        <is>
          <t>≤6</t>
        </is>
      </c>
      <c r="G16" s="20" t="inlineStr">
        <is>
          <t>3-4 min</t>
        </is>
      </c>
      <c r="H16" s="13" t="n"/>
      <c r="I16" s="20" t="inlineStr"/>
      <c r="J16" s="20" t="inlineStr"/>
      <c r="K16" s="20" t="inlineStr"/>
      <c r="L16" s="21" t="inlineStr"/>
    </row>
    <row r="17">
      <c r="A17" s="19" t="inlineStr"/>
      <c r="B17" s="20" t="inlineStr">
        <is>
          <t>3</t>
        </is>
      </c>
      <c r="C17" s="20" t="inlineStr">
        <is>
          <t>5</t>
        </is>
      </c>
      <c r="D17" s="20" t="inlineStr">
        <is>
          <t>60%</t>
        </is>
      </c>
      <c r="E17" s="20">
        <f>MROUND('Start Here'!$C$8*0.6,5)</f>
        <v/>
      </c>
      <c r="F17" s="20" t="inlineStr">
        <is>
          <t>≤6</t>
        </is>
      </c>
      <c r="G17" s="20" t="inlineStr">
        <is>
          <t>3-4 min</t>
        </is>
      </c>
      <c r="H17" s="14" t="n"/>
      <c r="I17" s="20" t="inlineStr"/>
      <c r="J17" s="20" t="inlineStr"/>
      <c r="K17" s="20" t="inlineStr"/>
      <c r="L17" s="21" t="inlineStr"/>
    </row>
    <row r="18" ht="42" customHeight="1">
      <c r="A18" s="19" t="inlineStr">
        <is>
          <t>Weighted Pull-Up</t>
        </is>
      </c>
      <c r="B18" s="20" t="inlineStr">
        <is>
          <t>3</t>
        </is>
      </c>
      <c r="C18" s="20" t="inlineStr">
        <is>
          <t>6-8</t>
        </is>
      </c>
      <c r="D18" s="20" t="inlineStr">
        <is>
          <t>—</t>
        </is>
      </c>
      <c r="E18" s="20" t="inlineStr">
        <is>
          <t>Your pick</t>
        </is>
      </c>
      <c r="F18" s="20" t="inlineStr">
        <is>
          <t>6-7</t>
        </is>
      </c>
      <c r="G18" s="20" t="inlineStr">
        <is>
          <t>2-3 min</t>
        </is>
      </c>
      <c r="H18" s="21" t="inlineStr">
        <is>
          <t>DELOAD: 3 easy sets, stay 3-4 reps from failure. Add weight when you own 4x8 at bodyweight+. Dead hang start, drive elbows to hips, chest to bar. Lats build your bench arch and your V-taper.</t>
        </is>
      </c>
      <c r="I18" s="20" t="inlineStr"/>
      <c r="J18" s="20" t="inlineStr"/>
      <c r="K18" s="20" t="inlineStr"/>
      <c r="L18" s="21" t="inlineStr"/>
    </row>
    <row r="19" ht="42" customHeight="1">
      <c r="A19" s="19" t="inlineStr">
        <is>
          <t>Seated DB Shoulder Press</t>
        </is>
      </c>
      <c r="B19" s="20" t="inlineStr">
        <is>
          <t>2</t>
        </is>
      </c>
      <c r="C19" s="20" t="inlineStr">
        <is>
          <t>8-10</t>
        </is>
      </c>
      <c r="D19" s="20" t="inlineStr">
        <is>
          <t>—</t>
        </is>
      </c>
      <c r="E19" s="20" t="inlineStr">
        <is>
          <t>Your pick</t>
        </is>
      </c>
      <c r="F19" s="20" t="inlineStr">
        <is>
          <t>6-7</t>
        </is>
      </c>
      <c r="G19" s="20" t="inlineStr">
        <is>
          <t>2 min</t>
        </is>
      </c>
      <c r="H19" s="21" t="inlineStr">
        <is>
          <t>DELOAD: 2 easy sets, stay 3-4 reps from failure. Slight back support, press up-and-in, stop just short of lockout to keep tension on delts. Start ~55-65s.</t>
        </is>
      </c>
      <c r="I19" s="20" t="inlineStr"/>
      <c r="J19" s="20" t="inlineStr"/>
      <c r="K19" s="20" t="inlineStr"/>
      <c r="L19" s="21" t="inlineStr"/>
    </row>
    <row r="20" ht="42" customHeight="1">
      <c r="A20" s="19" t="inlineStr">
        <is>
          <t>Chest-Supported Row</t>
        </is>
      </c>
      <c r="B20" s="20" t="inlineStr">
        <is>
          <t>2</t>
        </is>
      </c>
      <c r="C20" s="20" t="inlineStr">
        <is>
          <t>10-12</t>
        </is>
      </c>
      <c r="D20" s="20" t="inlineStr">
        <is>
          <t>—</t>
        </is>
      </c>
      <c r="E20" s="20" t="inlineStr">
        <is>
          <t>Your pick</t>
        </is>
      </c>
      <c r="F20" s="20" t="inlineStr">
        <is>
          <t>6-7</t>
        </is>
      </c>
      <c r="G20" s="20" t="inlineStr">
        <is>
          <t>90 sec</t>
        </is>
      </c>
      <c r="H20" s="21" t="inlineStr">
        <is>
          <t>DELOAD: 2 easy sets, stay 3-4 reps from failure. Chest glued to pad — no cheating with body English. Pull to lower ribs, squeeze the shoulder blades for 1 sec.</t>
        </is>
      </c>
      <c r="I20" s="20" t="inlineStr"/>
      <c r="J20" s="20" t="inlineStr"/>
      <c r="K20" s="20" t="inlineStr"/>
      <c r="L20" s="21" t="inlineStr"/>
    </row>
    <row r="21" ht="42" customHeight="1">
      <c r="A21" s="19" t="inlineStr">
        <is>
          <t>SUPERSET: EZ-Bar Curl + Overhead Cable Extension</t>
        </is>
      </c>
      <c r="B21" s="20" t="inlineStr">
        <is>
          <t>2</t>
        </is>
      </c>
      <c r="C21" s="20" t="inlineStr">
        <is>
          <t>10-12 each</t>
        </is>
      </c>
      <c r="D21" s="20" t="inlineStr">
        <is>
          <t>—</t>
        </is>
      </c>
      <c r="E21" s="20" t="inlineStr">
        <is>
          <t>Your pick</t>
        </is>
      </c>
      <c r="F21" s="20" t="inlineStr">
        <is>
          <t>6-7</t>
        </is>
      </c>
      <c r="G21" s="20" t="inlineStr">
        <is>
          <t>90 sec after pair</t>
        </is>
      </c>
      <c r="H21" s="21" t="inlineStr">
        <is>
          <t>DELOAD: 2 easy sets, stay 3-4 reps from failure. Curls: elbows pinned, no swing. Overhead extensions: full stretch behind head — long-head triceps grow from the stretch. Alternate exercises, rest after both.</t>
        </is>
      </c>
      <c r="I21" s="20" t="inlineStr"/>
      <c r="J21" s="20" t="inlineStr"/>
      <c r="K21" s="20" t="inlineStr"/>
      <c r="L21" s="21" t="inlineStr"/>
    </row>
    <row r="22" ht="42" customHeight="1">
      <c r="A22" s="19" t="inlineStr">
        <is>
          <t>Face Pull</t>
        </is>
      </c>
      <c r="B22" s="20" t="inlineStr">
        <is>
          <t>2</t>
        </is>
      </c>
      <c r="C22" s="20" t="inlineStr">
        <is>
          <t>15-20</t>
        </is>
      </c>
      <c r="D22" s="20" t="inlineStr">
        <is>
          <t>—</t>
        </is>
      </c>
      <c r="E22" s="20" t="inlineStr">
        <is>
          <t>Your pick</t>
        </is>
      </c>
      <c r="F22" s="20" t="inlineStr">
        <is>
          <t>6-7</t>
        </is>
      </c>
      <c r="G22" s="20" t="inlineStr">
        <is>
          <t>60 sec</t>
        </is>
      </c>
      <c r="H22" s="21" t="inlineStr">
        <is>
          <t>DELOAD: 2 easy sets, stay 3-4 reps from failure. Rope to forehead, thumbs back, external rotate at the end. Shoulder insurance — never skip these.</t>
        </is>
      </c>
      <c r="I22" s="20" t="inlineStr"/>
      <c r="J22" s="20" t="inlineStr"/>
      <c r="K22" s="20" t="inlineStr"/>
      <c r="L22" s="21" t="inlineStr"/>
    </row>
    <row r="24" ht="20" customHeight="1">
      <c r="A24" s="10" t="inlineStr">
        <is>
          <t>SATURDAY — LOWER B: DEADLIFT + ATHLETIC LOWER  (long session — take your time)</t>
        </is>
      </c>
    </row>
    <row r="25">
      <c r="A25" s="4" t="inlineStr">
        <is>
          <t>Exercise</t>
        </is>
      </c>
      <c r="B25" s="4" t="inlineStr">
        <is>
          <t>Set</t>
        </is>
      </c>
      <c r="C25" s="4" t="inlineStr">
        <is>
          <t>Target Reps</t>
        </is>
      </c>
      <c r="D25" s="4" t="inlineStr">
        <is>
          <t>%1RM</t>
        </is>
      </c>
      <c r="E25" s="4" t="inlineStr">
        <is>
          <t>Target Weight</t>
        </is>
      </c>
      <c r="F25" s="4" t="inlineStr">
        <is>
          <t>Target RPE</t>
        </is>
      </c>
      <c r="G25" s="4" t="inlineStr">
        <is>
          <t>Rest</t>
        </is>
      </c>
      <c r="H25" s="4" t="inlineStr">
        <is>
          <t>Coaching Cues / Special Instructions</t>
        </is>
      </c>
      <c r="I25" s="4" t="inlineStr">
        <is>
          <t>Actual Weight</t>
        </is>
      </c>
      <c r="J25" s="4" t="inlineStr">
        <is>
          <t>Actual Reps</t>
        </is>
      </c>
      <c r="K25" s="4" t="inlineStr">
        <is>
          <t>Actual RPE</t>
        </is>
      </c>
      <c r="L25" s="4" t="inlineStr">
        <is>
          <t>Set Notes (how it felt, bar speed, pump, tweaks)</t>
        </is>
      </c>
    </row>
    <row r="26">
      <c r="A26" s="19" t="inlineStr">
        <is>
          <t>Deadlift</t>
        </is>
      </c>
      <c r="B26" s="20" t="inlineStr">
        <is>
          <t>1</t>
        </is>
      </c>
      <c r="C26" s="20" t="inlineStr">
        <is>
          <t>4</t>
        </is>
      </c>
      <c r="D26" s="20" t="inlineStr">
        <is>
          <t>60%</t>
        </is>
      </c>
      <c r="E26" s="20">
        <f>MROUND('Start Here'!$C$9*0.6,5)</f>
        <v/>
      </c>
      <c r="F26" s="20" t="inlineStr">
        <is>
          <t>≤6</t>
        </is>
      </c>
      <c r="G26" s="20" t="inlineStr">
        <is>
          <t>3-4 min</t>
        </is>
      </c>
      <c r="H26" s="21" t="inlineStr">
        <is>
          <t>Wedge hard, pull the slack out until the bar clicks, push the floor away. Hips and shoulders rise together. Reset every rep — no touch-and-go here.  DELOAD — speed pulls, perfect positions.</t>
        </is>
      </c>
      <c r="I26" s="20" t="inlineStr"/>
      <c r="J26" s="20" t="inlineStr"/>
      <c r="K26" s="20" t="inlineStr"/>
      <c r="L26" s="21" t="inlineStr"/>
    </row>
    <row r="27">
      <c r="A27" s="19" t="inlineStr"/>
      <c r="B27" s="20" t="inlineStr">
        <is>
          <t>2</t>
        </is>
      </c>
      <c r="C27" s="20" t="inlineStr">
        <is>
          <t>4</t>
        </is>
      </c>
      <c r="D27" s="20" t="inlineStr">
        <is>
          <t>60%</t>
        </is>
      </c>
      <c r="E27" s="20">
        <f>MROUND('Start Here'!$C$9*0.6,5)</f>
        <v/>
      </c>
      <c r="F27" s="20" t="inlineStr">
        <is>
          <t>≤6</t>
        </is>
      </c>
      <c r="G27" s="20" t="inlineStr">
        <is>
          <t>3-4 min</t>
        </is>
      </c>
      <c r="H27" s="14" t="n"/>
      <c r="I27" s="20" t="inlineStr"/>
      <c r="J27" s="20" t="inlineStr"/>
      <c r="K27" s="20" t="inlineStr"/>
      <c r="L27" s="21" t="inlineStr"/>
    </row>
    <row r="28">
      <c r="A28" s="19" t="inlineStr">
        <is>
          <t>Paused Squat (2-ct)</t>
        </is>
      </c>
      <c r="B28" s="20" t="inlineStr">
        <is>
          <t>1</t>
        </is>
      </c>
      <c r="C28" s="20" t="inlineStr">
        <is>
          <t>5</t>
        </is>
      </c>
      <c r="D28" s="20" t="inlineStr">
        <is>
          <t>55%</t>
        </is>
      </c>
      <c r="E28" s="20">
        <f>MROUND('Start Here'!$C$7*0.55,5)</f>
        <v/>
      </c>
      <c r="F28" s="20" t="inlineStr">
        <is>
          <t>≤6</t>
        </is>
      </c>
      <c r="G28" s="20" t="inlineStr">
        <is>
          <t>3-4 min</t>
        </is>
      </c>
      <c r="H28" s="21" t="inlineStr">
        <is>
          <t>2-second dead-stop in the hole, stay braced and upright, no bounce. Builds bottom-position strength and quad size. Own the pause — don't rush it.</t>
        </is>
      </c>
      <c r="I28" s="20" t="inlineStr"/>
      <c r="J28" s="20" t="inlineStr"/>
      <c r="K28" s="20" t="inlineStr"/>
      <c r="L28" s="21" t="inlineStr"/>
    </row>
    <row r="29">
      <c r="A29" s="19" t="inlineStr"/>
      <c r="B29" s="20" t="inlineStr">
        <is>
          <t>2</t>
        </is>
      </c>
      <c r="C29" s="20" t="inlineStr">
        <is>
          <t>5</t>
        </is>
      </c>
      <c r="D29" s="20" t="inlineStr">
        <is>
          <t>55%</t>
        </is>
      </c>
      <c r="E29" s="20">
        <f>MROUND('Start Here'!$C$7*0.55,5)</f>
        <v/>
      </c>
      <c r="F29" s="20" t="inlineStr">
        <is>
          <t>≤6</t>
        </is>
      </c>
      <c r="G29" s="20" t="inlineStr">
        <is>
          <t>3-4 min</t>
        </is>
      </c>
      <c r="H29" s="14" t="n"/>
      <c r="I29" s="20" t="inlineStr"/>
      <c r="J29" s="20" t="inlineStr"/>
      <c r="K29" s="20" t="inlineStr"/>
      <c r="L29" s="21" t="inlineStr"/>
    </row>
    <row r="30" ht="42" customHeight="1">
      <c r="A30" s="19" t="inlineStr">
        <is>
          <t>Bulgarian Split Squat</t>
        </is>
      </c>
      <c r="B30" s="20" t="inlineStr">
        <is>
          <t>2</t>
        </is>
      </c>
      <c r="C30" s="20" t="inlineStr">
        <is>
          <t>8-10 /leg</t>
        </is>
      </c>
      <c r="D30" s="20" t="inlineStr">
        <is>
          <t>—</t>
        </is>
      </c>
      <c r="E30" s="20" t="inlineStr">
        <is>
          <t>Your pick</t>
        </is>
      </c>
      <c r="F30" s="20" t="inlineStr">
        <is>
          <t>6-7</t>
        </is>
      </c>
      <c r="G30" s="20" t="inlineStr">
        <is>
          <t>2 min</t>
        </is>
      </c>
      <c r="H30" s="21" t="inlineStr">
        <is>
          <t>DELOAD: 2 easy sets, stay 3-4 reps from failure. Rear foot elevated, slight forward lean for glutes, upright for quads — pick your target. This is your athleticism builder: balance, single-leg strength, hip stability. Start with 40-50 lb DBs.</t>
        </is>
      </c>
      <c r="I30" s="20" t="inlineStr"/>
      <c r="J30" s="20" t="inlineStr"/>
      <c r="K30" s="20" t="inlineStr"/>
      <c r="L30" s="21" t="inlineStr"/>
    </row>
    <row r="31" ht="42" customHeight="1">
      <c r="A31" s="19" t="inlineStr">
        <is>
          <t>Back Extension (glute bias)</t>
        </is>
      </c>
      <c r="B31" s="20" t="inlineStr">
        <is>
          <t>2</t>
        </is>
      </c>
      <c r="C31" s="20" t="inlineStr">
        <is>
          <t>12-15</t>
        </is>
      </c>
      <c r="D31" s="20" t="inlineStr">
        <is>
          <t>—</t>
        </is>
      </c>
      <c r="E31" s="20" t="inlineStr">
        <is>
          <t>Your pick</t>
        </is>
      </c>
      <c r="F31" s="20" t="inlineStr">
        <is>
          <t>6-7</t>
        </is>
      </c>
      <c r="G31" s="20" t="inlineStr">
        <is>
          <t>90 sec</t>
        </is>
      </c>
      <c r="H31" s="21" t="inlineStr">
        <is>
          <t>DELOAD: 2 easy sets, stay 3-4 reps from failure. Round upper back slightly, tuck chin, squeeze glutes to lift — don't hyperextend the spine. Hold a plate when 15 gets easy.</t>
        </is>
      </c>
      <c r="I31" s="20" t="inlineStr"/>
      <c r="J31" s="20" t="inlineStr"/>
      <c r="K31" s="20" t="inlineStr"/>
      <c r="L31" s="21" t="inlineStr"/>
    </row>
    <row r="32" ht="42" customHeight="1">
      <c r="A32" s="19" t="inlineStr">
        <is>
          <t>Walking DB Lunge</t>
        </is>
      </c>
      <c r="B32" s="20" t="inlineStr">
        <is>
          <t>2</t>
        </is>
      </c>
      <c r="C32" s="20" t="inlineStr">
        <is>
          <t>20 steps</t>
        </is>
      </c>
      <c r="D32" s="20" t="inlineStr">
        <is>
          <t>—</t>
        </is>
      </c>
      <c r="E32" s="20" t="inlineStr">
        <is>
          <t>Your pick</t>
        </is>
      </c>
      <c r="F32" s="20" t="inlineStr">
        <is>
          <t>6-7</t>
        </is>
      </c>
      <c r="G32" s="20" t="inlineStr">
        <is>
          <t>2 min</t>
        </is>
      </c>
      <c r="H32" s="21" t="inlineStr">
        <is>
          <t>DELOAD: 2 easy sets, stay 3-4 reps from failure. Long strides, soft knee touch, continuous walking. Brutal and athletic. Light DBs are plenty after everything else.</t>
        </is>
      </c>
      <c r="I32" s="20" t="inlineStr"/>
      <c r="J32" s="20" t="inlineStr"/>
      <c r="K32" s="20" t="inlineStr"/>
      <c r="L32" s="21" t="inlineStr"/>
    </row>
    <row r="33" ht="42" customHeight="1">
      <c r="A33" s="19" t="inlineStr">
        <is>
          <t>Seated Calf Raise</t>
        </is>
      </c>
      <c r="B33" s="20" t="inlineStr">
        <is>
          <t>3</t>
        </is>
      </c>
      <c r="C33" s="20" t="inlineStr">
        <is>
          <t>12-15</t>
        </is>
      </c>
      <c r="D33" s="20" t="inlineStr">
        <is>
          <t>—</t>
        </is>
      </c>
      <c r="E33" s="20" t="inlineStr">
        <is>
          <t>Your pick</t>
        </is>
      </c>
      <c r="F33" s="20" t="inlineStr">
        <is>
          <t>6-7</t>
        </is>
      </c>
      <c r="G33" s="20" t="inlineStr">
        <is>
          <t>60-90 sec</t>
        </is>
      </c>
      <c r="H33" s="21" t="inlineStr">
        <is>
          <t>DELOAD: 3 easy sets, stay 3-4 reps from failure. Soleus focus. Slow 3-sec negative, deep stretch, pause at top.</t>
        </is>
      </c>
      <c r="I33" s="20" t="inlineStr"/>
      <c r="J33" s="20" t="inlineStr"/>
      <c r="K33" s="20" t="inlineStr"/>
      <c r="L33" s="21" t="inlineStr"/>
    </row>
    <row r="34" ht="42" customHeight="1">
      <c r="A34" s="19" t="inlineStr">
        <is>
          <t>Hanging Leg Raise</t>
        </is>
      </c>
      <c r="B34" s="20" t="inlineStr">
        <is>
          <t>2</t>
        </is>
      </c>
      <c r="C34" s="20" t="inlineStr">
        <is>
          <t>10-15</t>
        </is>
      </c>
      <c r="D34" s="20" t="inlineStr">
        <is>
          <t>—</t>
        </is>
      </c>
      <c r="E34" s="20" t="inlineStr">
        <is>
          <t>Your pick</t>
        </is>
      </c>
      <c r="F34" s="20" t="inlineStr">
        <is>
          <t>6-7</t>
        </is>
      </c>
      <c r="G34" s="20" t="inlineStr">
        <is>
          <t>90 sec</t>
        </is>
      </c>
      <c r="H34" s="21" t="inlineStr">
        <is>
          <t>DELOAD: 2 easy sets, stay 3-4 reps from failure. Posterior pelvic tilt at the top — curl the pelvis up, don't just swing the legs. Bend knees if needed.</t>
        </is>
      </c>
      <c r="I34" s="20" t="inlineStr"/>
      <c r="J34" s="20" t="inlineStr"/>
      <c r="K34" s="20" t="inlineStr"/>
      <c r="L34" s="21" t="inlineStr"/>
    </row>
    <row r="36" ht="20" customHeight="1">
      <c r="A36" s="10" t="inlineStr">
        <is>
          <t>SUNDAY — UPPER B: VOLUME BENCH + PUMP DAY  (long session — chase the pump)</t>
        </is>
      </c>
    </row>
    <row r="37">
      <c r="A37" s="4" t="inlineStr">
        <is>
          <t>Exercise</t>
        </is>
      </c>
      <c r="B37" s="4" t="inlineStr">
        <is>
          <t>Set</t>
        </is>
      </c>
      <c r="C37" s="4" t="inlineStr">
        <is>
          <t>Target Reps</t>
        </is>
      </c>
      <c r="D37" s="4" t="inlineStr">
        <is>
          <t>%1RM</t>
        </is>
      </c>
      <c r="E37" s="4" t="inlineStr">
        <is>
          <t>Target Weight</t>
        </is>
      </c>
      <c r="F37" s="4" t="inlineStr">
        <is>
          <t>Target RPE</t>
        </is>
      </c>
      <c r="G37" s="4" t="inlineStr">
        <is>
          <t>Rest</t>
        </is>
      </c>
      <c r="H37" s="4" t="inlineStr">
        <is>
          <t>Coaching Cues / Special Instructions</t>
        </is>
      </c>
      <c r="I37" s="4" t="inlineStr">
        <is>
          <t>Actual Weight</t>
        </is>
      </c>
      <c r="J37" s="4" t="inlineStr">
        <is>
          <t>Actual Reps</t>
        </is>
      </c>
      <c r="K37" s="4" t="inlineStr">
        <is>
          <t>Actual RPE</t>
        </is>
      </c>
      <c r="L37" s="4" t="inlineStr">
        <is>
          <t>Set Notes (how it felt, bar speed, pump, tweaks)</t>
        </is>
      </c>
    </row>
    <row r="38">
      <c r="A38" s="19" t="inlineStr">
        <is>
          <t>Touch-and-Go Bench</t>
        </is>
      </c>
      <c r="B38" s="20" t="inlineStr">
        <is>
          <t>1</t>
        </is>
      </c>
      <c r="C38" s="20" t="inlineStr">
        <is>
          <t>8</t>
        </is>
      </c>
      <c r="D38" s="20" t="inlineStr">
        <is>
          <t>55%</t>
        </is>
      </c>
      <c r="E38" s="20">
        <f>MROUND('Start Here'!$C$8*0.55,5)</f>
        <v/>
      </c>
      <c r="F38" s="20" t="inlineStr">
        <is>
          <t>≤6</t>
        </is>
      </c>
      <c r="G38" s="20" t="inlineStr">
        <is>
          <t>3-4 min</t>
        </is>
      </c>
      <c r="H38" s="21" t="inlineStr">
        <is>
          <t>Smooth touch, no bounce off the chest. Slight tuck, squeeze pecs hard at lockout each rep. This is a muscle set, not a strength test — chase the pec pump.</t>
        </is>
      </c>
      <c r="I38" s="20" t="inlineStr"/>
      <c r="J38" s="20" t="inlineStr"/>
      <c r="K38" s="20" t="inlineStr"/>
      <c r="L38" s="21" t="inlineStr"/>
    </row>
    <row r="39">
      <c r="A39" s="19" t="inlineStr"/>
      <c r="B39" s="20" t="inlineStr">
        <is>
          <t>2</t>
        </is>
      </c>
      <c r="C39" s="20" t="inlineStr">
        <is>
          <t>8</t>
        </is>
      </c>
      <c r="D39" s="20" t="inlineStr">
        <is>
          <t>55%</t>
        </is>
      </c>
      <c r="E39" s="20">
        <f>MROUND('Start Here'!$C$8*0.55,5)</f>
        <v/>
      </c>
      <c r="F39" s="20" t="inlineStr">
        <is>
          <t>≤6</t>
        </is>
      </c>
      <c r="G39" s="20" t="inlineStr">
        <is>
          <t>3-4 min</t>
        </is>
      </c>
      <c r="H39" s="13" t="n"/>
      <c r="I39" s="20" t="inlineStr"/>
      <c r="J39" s="20" t="inlineStr"/>
      <c r="K39" s="20" t="inlineStr"/>
      <c r="L39" s="21" t="inlineStr"/>
    </row>
    <row r="40">
      <c r="A40" s="19" t="inlineStr"/>
      <c r="B40" s="20" t="inlineStr">
        <is>
          <t>3</t>
        </is>
      </c>
      <c r="C40" s="20" t="inlineStr">
        <is>
          <t>8</t>
        </is>
      </c>
      <c r="D40" s="20" t="inlineStr">
        <is>
          <t>55%</t>
        </is>
      </c>
      <c r="E40" s="20">
        <f>MROUND('Start Here'!$C$8*0.55,5)</f>
        <v/>
      </c>
      <c r="F40" s="20" t="inlineStr">
        <is>
          <t>≤6</t>
        </is>
      </c>
      <c r="G40" s="20" t="inlineStr">
        <is>
          <t>3-4 min</t>
        </is>
      </c>
      <c r="H40" s="14" t="n"/>
      <c r="I40" s="20" t="inlineStr"/>
      <c r="J40" s="20" t="inlineStr"/>
      <c r="K40" s="20" t="inlineStr"/>
      <c r="L40" s="21" t="inlineStr"/>
    </row>
    <row r="41" ht="42" customHeight="1">
      <c r="A41" s="19" t="inlineStr">
        <is>
          <t>Incline DB Press (30°)</t>
        </is>
      </c>
      <c r="B41" s="20" t="inlineStr">
        <is>
          <t>2</t>
        </is>
      </c>
      <c r="C41" s="20" t="inlineStr">
        <is>
          <t>10-12</t>
        </is>
      </c>
      <c r="D41" s="20" t="inlineStr">
        <is>
          <t>—</t>
        </is>
      </c>
      <c r="E41" s="20" t="inlineStr">
        <is>
          <t>Your pick</t>
        </is>
      </c>
      <c r="F41" s="20" t="inlineStr">
        <is>
          <t>6-7</t>
        </is>
      </c>
      <c r="G41" s="20" t="inlineStr">
        <is>
          <t>2 min</t>
        </is>
      </c>
      <c r="H41" s="21" t="inlineStr">
        <is>
          <t>DELOAD: 2 easy sets, stay 3-4 reps from failure. Deep stretch at the bottom, press up-and-in, squeeze upper pecs at top. Don't touch the DBs together hard — keep tension. Start ~75-85s.</t>
        </is>
      </c>
      <c r="I41" s="20" t="inlineStr"/>
      <c r="J41" s="20" t="inlineStr"/>
      <c r="K41" s="20" t="inlineStr"/>
      <c r="L41" s="21" t="inlineStr"/>
    </row>
    <row r="42" ht="42" customHeight="1">
      <c r="A42" s="19" t="inlineStr">
        <is>
          <t>Lat Pulldown (neutral wide)</t>
        </is>
      </c>
      <c r="B42" s="20" t="inlineStr">
        <is>
          <t>3</t>
        </is>
      </c>
      <c r="C42" s="20" t="inlineStr">
        <is>
          <t>10-12</t>
        </is>
      </c>
      <c r="D42" s="20" t="inlineStr">
        <is>
          <t>—</t>
        </is>
      </c>
      <c r="E42" s="20" t="inlineStr">
        <is>
          <t>Your pick</t>
        </is>
      </c>
      <c r="F42" s="20" t="inlineStr">
        <is>
          <t>6-7</t>
        </is>
      </c>
      <c r="G42" s="20" t="inlineStr">
        <is>
          <t>90 sec</t>
        </is>
      </c>
      <c r="H42" s="21" t="inlineStr">
        <is>
          <t>DELOAD: 3 easy sets, stay 3-4 reps from failure. Drive elbows down and back, pause 1 sec at the chest, 3-sec controlled return. Think 'elbows in back pockets' — feel the lats, not the arms.</t>
        </is>
      </c>
      <c r="I42" s="20" t="inlineStr"/>
      <c r="J42" s="20" t="inlineStr"/>
      <c r="K42" s="20" t="inlineStr"/>
      <c r="L42" s="21" t="inlineStr"/>
    </row>
    <row r="43" ht="42" customHeight="1">
      <c r="A43" s="19" t="inlineStr">
        <is>
          <t>Single-Arm Cable Row</t>
        </is>
      </c>
      <c r="B43" s="20" t="inlineStr">
        <is>
          <t>2</t>
        </is>
      </c>
      <c r="C43" s="20" t="inlineStr">
        <is>
          <t>10-12 /arm</t>
        </is>
      </c>
      <c r="D43" s="20" t="inlineStr">
        <is>
          <t>—</t>
        </is>
      </c>
      <c r="E43" s="20" t="inlineStr">
        <is>
          <t>Your pick</t>
        </is>
      </c>
      <c r="F43" s="20" t="inlineStr">
        <is>
          <t>6-7</t>
        </is>
      </c>
      <c r="G43" s="20" t="inlineStr">
        <is>
          <t>90 sec</t>
        </is>
      </c>
      <c r="H43" s="21" t="inlineStr">
        <is>
          <t>DELOAD: 2 easy sets, stay 3-4 reps from failure. Allow a full stretch and slight rotation forward, then row and squeeze. One side at a time = maximum mind-muscle connection.</t>
        </is>
      </c>
      <c r="I43" s="20" t="inlineStr"/>
      <c r="J43" s="20" t="inlineStr"/>
      <c r="K43" s="20" t="inlineStr"/>
      <c r="L43" s="21" t="inlineStr"/>
    </row>
    <row r="44" ht="42" customHeight="1">
      <c r="A44" s="19" t="inlineStr">
        <is>
          <t>DB Lateral Raise</t>
        </is>
      </c>
      <c r="B44" s="20" t="inlineStr">
        <is>
          <t>3</t>
        </is>
      </c>
      <c r="C44" s="20" t="inlineStr">
        <is>
          <t>12-15</t>
        </is>
      </c>
      <c r="D44" s="20" t="inlineStr">
        <is>
          <t>—</t>
        </is>
      </c>
      <c r="E44" s="20" t="inlineStr">
        <is>
          <t>Your pick</t>
        </is>
      </c>
      <c r="F44" s="20" t="inlineStr">
        <is>
          <t>6-7</t>
        </is>
      </c>
      <c r="G44" s="20" t="inlineStr">
        <is>
          <t>60-75 sec</t>
        </is>
      </c>
      <c r="H44" s="21" t="inlineStr">
        <is>
          <t>DELOAD: 3 easy sets, stay 3-4 reps from failure. Lead with the elbows, tilt pinkies slightly up, stop at shoulder height. Weeks 3 &amp; 7: drop-set the last set (drop ~40%, rep to near-failure). Side delts make you look athletic in a t-shirt.</t>
        </is>
      </c>
      <c r="I44" s="20" t="inlineStr"/>
      <c r="J44" s="20" t="inlineStr"/>
      <c r="K44" s="20" t="inlineStr"/>
      <c r="L44" s="21" t="inlineStr"/>
    </row>
    <row r="45" ht="42" customHeight="1">
      <c r="A45" s="19" t="inlineStr">
        <is>
          <t>Cable Fly (low-to-high or pec deck)</t>
        </is>
      </c>
      <c r="B45" s="20" t="inlineStr">
        <is>
          <t>2</t>
        </is>
      </c>
      <c r="C45" s="20" t="inlineStr">
        <is>
          <t>12-15</t>
        </is>
      </c>
      <c r="D45" s="20" t="inlineStr">
        <is>
          <t>—</t>
        </is>
      </c>
      <c r="E45" s="20" t="inlineStr">
        <is>
          <t>Your pick</t>
        </is>
      </c>
      <c r="F45" s="20" t="inlineStr">
        <is>
          <t>6-7</t>
        </is>
      </c>
      <c r="G45" s="20" t="inlineStr">
        <is>
          <t>60-90 sec</t>
        </is>
      </c>
      <c r="H45" s="21" t="inlineStr">
        <is>
          <t>DELOAD: 2 easy sets, stay 3-4 reps from failure. Big stretch, hug a barrel, squeeze pecs together for a 1-count. Pure pump work — moderate weight, perfect reps.</t>
        </is>
      </c>
      <c r="I45" s="20" t="inlineStr"/>
      <c r="J45" s="20" t="inlineStr"/>
      <c r="K45" s="20" t="inlineStr"/>
      <c r="L45" s="21" t="inlineStr"/>
    </row>
    <row r="46" ht="42" customHeight="1">
      <c r="A46" s="19" t="inlineStr">
        <is>
          <t>SUPERSET: Incline DB Curl + Lying DB Skullcrusher</t>
        </is>
      </c>
      <c r="B46" s="20" t="inlineStr">
        <is>
          <t>2</t>
        </is>
      </c>
      <c r="C46" s="20" t="inlineStr">
        <is>
          <t>10-12 each</t>
        </is>
      </c>
      <c r="D46" s="20" t="inlineStr">
        <is>
          <t>—</t>
        </is>
      </c>
      <c r="E46" s="20" t="inlineStr">
        <is>
          <t>Your pick</t>
        </is>
      </c>
      <c r="F46" s="20" t="inlineStr">
        <is>
          <t>6-7</t>
        </is>
      </c>
      <c r="G46" s="20" t="inlineStr">
        <is>
          <t>90 sec after pair</t>
        </is>
      </c>
      <c r="H46" s="21" t="inlineStr">
        <is>
          <t>DELOAD: 2 easy sets, stay 3-4 reps from failure. Incline curls: full stretch at the bottom, biceps long-head heaven. Skullcrushers: lower behind the head slightly for more stretch.</t>
        </is>
      </c>
      <c r="I46" s="20" t="inlineStr"/>
      <c r="J46" s="20" t="inlineStr"/>
      <c r="K46" s="20" t="inlineStr"/>
      <c r="L46" s="21" t="inlineStr"/>
    </row>
    <row r="47" ht="42" customHeight="1">
      <c r="A47" s="19" t="inlineStr">
        <is>
          <t>SUPERSET: Hammer Curl + Rope Pressdown</t>
        </is>
      </c>
      <c r="B47" s="20" t="inlineStr">
        <is>
          <t>2</t>
        </is>
      </c>
      <c r="C47" s="20" t="inlineStr">
        <is>
          <t>12-15 each</t>
        </is>
      </c>
      <c r="D47" s="20" t="inlineStr">
        <is>
          <t>—</t>
        </is>
      </c>
      <c r="E47" s="20" t="inlineStr">
        <is>
          <t>Your pick</t>
        </is>
      </c>
      <c r="F47" s="20" t="inlineStr">
        <is>
          <t>6-7</t>
        </is>
      </c>
      <c r="G47" s="20" t="inlineStr">
        <is>
          <t>60 sec after pair</t>
        </is>
      </c>
      <c r="H47" s="21" t="inlineStr">
        <is>
          <t>DELOAD: 2 easy sets, stay 3-4 reps from failure. Finisher — chase the arm pump. Strict form, short rests, walk out with sleeves tight.</t>
        </is>
      </c>
      <c r="I47" s="20" t="inlineStr"/>
      <c r="J47" s="20" t="inlineStr"/>
      <c r="K47" s="20" t="inlineStr"/>
      <c r="L47" s="21" t="inlineStr"/>
    </row>
    <row r="48" ht="42" customHeight="1">
      <c r="A48" s="19" t="inlineStr">
        <is>
          <t>Reverse Pec Deck (rear delts)</t>
        </is>
      </c>
      <c r="B48" s="20" t="inlineStr">
        <is>
          <t>2</t>
        </is>
      </c>
      <c r="C48" s="20" t="inlineStr">
        <is>
          <t>15-20</t>
        </is>
      </c>
      <c r="D48" s="20" t="inlineStr">
        <is>
          <t>—</t>
        </is>
      </c>
      <c r="E48" s="20" t="inlineStr">
        <is>
          <t>Your pick</t>
        </is>
      </c>
      <c r="F48" s="20" t="inlineStr">
        <is>
          <t>6-7</t>
        </is>
      </c>
      <c r="G48" s="20" t="inlineStr">
        <is>
          <t>60 sec</t>
        </is>
      </c>
      <c r="H48" s="21" t="inlineStr">
        <is>
          <t>DELOAD: 2 easy sets, stay 3-4 reps from failure. Lead with elbows out, don't squeeze shoulder blades — keep it in the rear delts. Posture, shoulder health, 3-D delts.</t>
        </is>
      </c>
      <c r="I48" s="20" t="inlineStr"/>
      <c r="J48" s="20" t="inlineStr"/>
      <c r="K48" s="20" t="inlineStr"/>
      <c r="L48" s="21" t="inlineStr"/>
    </row>
  </sheetData>
  <mergeCells count="10">
    <mergeCell ref="A24:L24"/>
    <mergeCell ref="H4:H6"/>
    <mergeCell ref="A2:L2"/>
    <mergeCell ref="H26:H27"/>
    <mergeCell ref="H15:H17"/>
    <mergeCell ref="A1:L1"/>
    <mergeCell ref="A13:L13"/>
    <mergeCell ref="A36:L36"/>
    <mergeCell ref="H28:H29"/>
    <mergeCell ref="H38: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3"/>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9" t="inlineStr">
        <is>
          <t>FORGED 4-DAY POWERBUILDER  —  WEEK 5   |   BLOCK 2: STRENGTH EXPRESSION</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1" t="inlineStr">
        <is>
          <t>Competition Squat</t>
        </is>
      </c>
      <c r="B4" s="12" t="inlineStr">
        <is>
          <t>1</t>
        </is>
      </c>
      <c r="C4" s="12" t="inlineStr">
        <is>
          <t>4</t>
        </is>
      </c>
      <c r="D4" s="12" t="inlineStr">
        <is>
          <t>77.5%</t>
        </is>
      </c>
      <c r="E4" s="12">
        <f>MROUND('Start Here'!$C$7*0.775,5)</f>
        <v/>
      </c>
      <c r="F4" s="12" t="inlineStr">
        <is>
          <t>7.5</t>
        </is>
      </c>
      <c r="G4" s="12" t="inlineStr">
        <is>
          <t>3-4 min</t>
        </is>
      </c>
      <c r="H4" s="8" t="inlineStr">
        <is>
          <t>Full comp setup every set: same walkout, same bracing. Big 360° breath, spread the floor, drive up through mid-foot. Treat every rep like a platform rep.</t>
        </is>
      </c>
      <c r="I4" s="12" t="inlineStr"/>
      <c r="J4" s="12" t="inlineStr"/>
      <c r="K4" s="12" t="inlineStr"/>
      <c r="L4" s="8" t="inlineStr"/>
    </row>
    <row r="5">
      <c r="A5" s="11" t="inlineStr"/>
      <c r="B5" s="12" t="inlineStr">
        <is>
          <t>2</t>
        </is>
      </c>
      <c r="C5" s="12" t="inlineStr">
        <is>
          <t>4</t>
        </is>
      </c>
      <c r="D5" s="12" t="inlineStr">
        <is>
          <t>77.5%</t>
        </is>
      </c>
      <c r="E5" s="12">
        <f>MROUND('Start Here'!$C$7*0.775,5)</f>
        <v/>
      </c>
      <c r="F5" s="12" t="inlineStr">
        <is>
          <t>7.5</t>
        </is>
      </c>
      <c r="G5" s="12" t="inlineStr">
        <is>
          <t>3-4 min</t>
        </is>
      </c>
      <c r="H5" s="13" t="n"/>
      <c r="I5" s="12" t="inlineStr"/>
      <c r="J5" s="12" t="inlineStr"/>
      <c r="K5" s="12" t="inlineStr"/>
      <c r="L5" s="8" t="inlineStr"/>
    </row>
    <row r="6">
      <c r="A6" s="11" t="inlineStr"/>
      <c r="B6" s="12" t="inlineStr">
        <is>
          <t>3</t>
        </is>
      </c>
      <c r="C6" s="12" t="inlineStr">
        <is>
          <t>4</t>
        </is>
      </c>
      <c r="D6" s="12" t="inlineStr">
        <is>
          <t>77.5%</t>
        </is>
      </c>
      <c r="E6" s="12">
        <f>MROUND('Start Here'!$C$7*0.775,5)</f>
        <v/>
      </c>
      <c r="F6" s="12" t="inlineStr">
        <is>
          <t>7.5</t>
        </is>
      </c>
      <c r="G6" s="12" t="inlineStr">
        <is>
          <t>3-4 min</t>
        </is>
      </c>
      <c r="H6" s="13" t="n"/>
      <c r="I6" s="12" t="inlineStr"/>
      <c r="J6" s="12" t="inlineStr"/>
      <c r="K6" s="12" t="inlineStr"/>
      <c r="L6" s="8" t="inlineStr"/>
    </row>
    <row r="7">
      <c r="A7" s="11" t="inlineStr"/>
      <c r="B7" s="12" t="inlineStr">
        <is>
          <t>4</t>
        </is>
      </c>
      <c r="C7" s="12" t="inlineStr">
        <is>
          <t>4</t>
        </is>
      </c>
      <c r="D7" s="12" t="inlineStr">
        <is>
          <t>77.5%</t>
        </is>
      </c>
      <c r="E7" s="12">
        <f>MROUND('Start Here'!$C$7*0.775,5)</f>
        <v/>
      </c>
      <c r="F7" s="12" t="inlineStr">
        <is>
          <t>7.5</t>
        </is>
      </c>
      <c r="G7" s="12" t="inlineStr">
        <is>
          <t>3-4 min</t>
        </is>
      </c>
      <c r="H7" s="14" t="n"/>
      <c r="I7" s="12" t="inlineStr"/>
      <c r="J7" s="12" t="inlineStr"/>
      <c r="K7" s="12" t="inlineStr"/>
      <c r="L7" s="8" t="inlineStr"/>
    </row>
    <row r="8" ht="42" customHeight="1">
      <c r="A8" s="15" t="inlineStr">
        <is>
          <t>Romanian Deadlift</t>
        </is>
      </c>
      <c r="B8" s="16" t="inlineStr">
        <is>
          <t>3</t>
        </is>
      </c>
      <c r="C8" s="16" t="inlineStr">
        <is>
          <t>8-10</t>
        </is>
      </c>
      <c r="D8" s="16" t="inlineStr">
        <is>
          <t>—</t>
        </is>
      </c>
      <c r="E8" s="16" t="inlineStr">
        <is>
          <t>Your pick</t>
        </is>
      </c>
      <c r="F8" s="16" t="inlineStr">
        <is>
          <t>7-8</t>
        </is>
      </c>
      <c r="G8" s="16" t="inlineStr">
        <is>
          <t>2-3 min</t>
        </is>
      </c>
      <c r="H8" s="17" t="inlineStr">
        <is>
          <t>Soft knees, push hips back until hamstrings scream, bar drags the thighs. Start ~185-225 and add when all sets hit 10. Feel the stretch — that's the growth signal.</t>
        </is>
      </c>
      <c r="I8" s="16" t="inlineStr"/>
      <c r="J8" s="16" t="inlineStr"/>
      <c r="K8" s="16" t="inlineStr"/>
      <c r="L8" s="17" t="inlineStr"/>
    </row>
    <row r="9" ht="42" customHeight="1">
      <c r="A9" s="11" t="inlineStr">
        <is>
          <t>Leg Press (feet low &amp; narrow)</t>
        </is>
      </c>
      <c r="B9" s="12" t="inlineStr">
        <is>
          <t>3</t>
        </is>
      </c>
      <c r="C9" s="12" t="inlineStr">
        <is>
          <t>10-12</t>
        </is>
      </c>
      <c r="D9" s="12" t="inlineStr">
        <is>
          <t>—</t>
        </is>
      </c>
      <c r="E9" s="12" t="inlineStr">
        <is>
          <t>Your pick</t>
        </is>
      </c>
      <c r="F9" s="12" t="inlineStr">
        <is>
          <t>8</t>
        </is>
      </c>
      <c r="G9" s="12" t="inlineStr">
        <is>
          <t>2 min</t>
        </is>
      </c>
      <c r="H9" s="8" t="inlineStr">
        <is>
          <t>Quad-bias stance. Full depth without butt tucking, 2-sec lowering. Drive knees over toes. Don't chase plates — chase the quad burn.</t>
        </is>
      </c>
      <c r="I9" s="12" t="inlineStr"/>
      <c r="J9" s="12" t="inlineStr"/>
      <c r="K9" s="12" t="inlineStr"/>
      <c r="L9" s="8" t="inlineStr"/>
    </row>
    <row r="10" ht="42" customHeight="1">
      <c r="A10" s="15" t="inlineStr">
        <is>
          <t>Seated Leg Curl</t>
        </is>
      </c>
      <c r="B10" s="16" t="inlineStr">
        <is>
          <t>3</t>
        </is>
      </c>
      <c r="C10" s="16" t="inlineStr">
        <is>
          <t>12-15</t>
        </is>
      </c>
      <c r="D10" s="16" t="inlineStr">
        <is>
          <t>—</t>
        </is>
      </c>
      <c r="E10" s="16" t="inlineStr">
        <is>
          <t>Your pick</t>
        </is>
      </c>
      <c r="F10" s="16" t="inlineStr">
        <is>
          <t>8-9</t>
        </is>
      </c>
      <c r="G10" s="16" t="inlineStr">
        <is>
          <t>90 sec</t>
        </is>
      </c>
      <c r="H10" s="17" t="inlineStr">
        <is>
          <t>Lean torso forward slightly for a longer hamstring stretch. Squeeze 1 sec at full flexion, 3-sec lowering.</t>
        </is>
      </c>
      <c r="I10" s="16" t="inlineStr"/>
      <c r="J10" s="16" t="inlineStr"/>
      <c r="K10" s="16" t="inlineStr"/>
      <c r="L10" s="17" t="inlineStr"/>
    </row>
    <row r="11" ht="42" customHeight="1">
      <c r="A11" s="11" t="inlineStr">
        <is>
          <t>Standing Calf Raise</t>
        </is>
      </c>
      <c r="B11" s="12" t="inlineStr">
        <is>
          <t>3</t>
        </is>
      </c>
      <c r="C11" s="12" t="inlineStr">
        <is>
          <t>10-12</t>
        </is>
      </c>
      <c r="D11" s="12" t="inlineStr">
        <is>
          <t>—</t>
        </is>
      </c>
      <c r="E11" s="12" t="inlineStr">
        <is>
          <t>Your pick</t>
        </is>
      </c>
      <c r="F11" s="12" t="inlineStr">
        <is>
          <t>8-9</t>
        </is>
      </c>
      <c r="G11" s="12" t="inlineStr">
        <is>
          <t>90 sec</t>
        </is>
      </c>
      <c r="H11" s="8" t="inlineStr">
        <is>
          <t>Full stretch at the bottom for a 2-count, drive through the big toe, pause at the top. No bouncing.</t>
        </is>
      </c>
      <c r="I11" s="12" t="inlineStr"/>
      <c r="J11" s="12" t="inlineStr"/>
      <c r="K11" s="12" t="inlineStr"/>
      <c r="L11" s="8" t="inlineStr"/>
    </row>
    <row r="12" ht="42" customHeight="1">
      <c r="A12" s="15" t="inlineStr">
        <is>
          <t>Cable Crunch</t>
        </is>
      </c>
      <c r="B12" s="16" t="inlineStr">
        <is>
          <t>3</t>
        </is>
      </c>
      <c r="C12" s="16" t="inlineStr">
        <is>
          <t>12-15</t>
        </is>
      </c>
      <c r="D12" s="16" t="inlineStr">
        <is>
          <t>—</t>
        </is>
      </c>
      <c r="E12" s="16" t="inlineStr">
        <is>
          <t>Your pick</t>
        </is>
      </c>
      <c r="F12" s="16" t="inlineStr">
        <is>
          <t>8</t>
        </is>
      </c>
      <c r="G12" s="16" t="inlineStr">
        <is>
          <t>60-90 sec</t>
        </is>
      </c>
      <c r="H12" s="17" t="inlineStr">
        <is>
          <t>Flex the spine — ribs to hips, don't just bow at the waist. Strong abs = strong squat brace.</t>
        </is>
      </c>
      <c r="I12" s="16" t="inlineStr"/>
      <c r="J12" s="16" t="inlineStr"/>
      <c r="K12" s="16" t="inlineStr"/>
      <c r="L12" s="17" t="inlineStr"/>
    </row>
    <row r="14" ht="20" customHeight="1">
      <c r="A14" s="10" t="inlineStr">
        <is>
          <t>THURSDAY — UPPER A: BENCH STRENGTH + BACK  (target: ≤85 min)</t>
        </is>
      </c>
    </row>
    <row r="15">
      <c r="A15" s="4" t="inlineStr">
        <is>
          <t>Exercise</t>
        </is>
      </c>
      <c r="B15" s="4" t="inlineStr">
        <is>
          <t>Set</t>
        </is>
      </c>
      <c r="C15" s="4" t="inlineStr">
        <is>
          <t>Target Reps</t>
        </is>
      </c>
      <c r="D15" s="4" t="inlineStr">
        <is>
          <t>%1RM</t>
        </is>
      </c>
      <c r="E15" s="4" t="inlineStr">
        <is>
          <t>Target Weight</t>
        </is>
      </c>
      <c r="F15" s="4" t="inlineStr">
        <is>
          <t>Target RPE</t>
        </is>
      </c>
      <c r="G15" s="4" t="inlineStr">
        <is>
          <t>Rest</t>
        </is>
      </c>
      <c r="H15" s="4" t="inlineStr">
        <is>
          <t>Coaching Cues / Special Instructions</t>
        </is>
      </c>
      <c r="I15" s="4" t="inlineStr">
        <is>
          <t>Actual Weight</t>
        </is>
      </c>
      <c r="J15" s="4" t="inlineStr">
        <is>
          <t>Actual Reps</t>
        </is>
      </c>
      <c r="K15" s="4" t="inlineStr">
        <is>
          <t>Actual RPE</t>
        </is>
      </c>
      <c r="L15" s="4" t="inlineStr">
        <is>
          <t>Set Notes (how it felt, bar speed, pump, tweaks)</t>
        </is>
      </c>
    </row>
    <row r="16">
      <c r="A16" s="11" t="inlineStr">
        <is>
          <t>Competition Bench</t>
        </is>
      </c>
      <c r="B16" s="12" t="inlineStr">
        <is>
          <t>1</t>
        </is>
      </c>
      <c r="C16" s="12" t="inlineStr">
        <is>
          <t>4</t>
        </is>
      </c>
      <c r="D16" s="12" t="inlineStr">
        <is>
          <t>77.5%</t>
        </is>
      </c>
      <c r="E16" s="12">
        <f>MROUND('Start Here'!$C$8*0.775,5)</f>
        <v/>
      </c>
      <c r="F16" s="12" t="inlineStr">
        <is>
          <t>7.5</t>
        </is>
      </c>
      <c r="G16" s="12" t="inlineStr">
        <is>
          <t>3-4 min</t>
        </is>
      </c>
      <c r="H16" s="8" t="inlineStr">
        <is>
          <t>Comp pause on every rep this day. Set your arch, pull the bar apart, tuck elbows ~45°, press back over your face. Leg drive on.</t>
        </is>
      </c>
      <c r="I16" s="12" t="inlineStr"/>
      <c r="J16" s="12" t="inlineStr"/>
      <c r="K16" s="12" t="inlineStr"/>
      <c r="L16" s="8" t="inlineStr"/>
    </row>
    <row r="17">
      <c r="A17" s="11" t="inlineStr"/>
      <c r="B17" s="12" t="inlineStr">
        <is>
          <t>2</t>
        </is>
      </c>
      <c r="C17" s="12" t="inlineStr">
        <is>
          <t>4</t>
        </is>
      </c>
      <c r="D17" s="12" t="inlineStr">
        <is>
          <t>77.5%</t>
        </is>
      </c>
      <c r="E17" s="12">
        <f>MROUND('Start Here'!$C$8*0.775,5)</f>
        <v/>
      </c>
      <c r="F17" s="12" t="inlineStr">
        <is>
          <t>7.5</t>
        </is>
      </c>
      <c r="G17" s="12" t="inlineStr">
        <is>
          <t>3-4 min</t>
        </is>
      </c>
      <c r="H17" s="13" t="n"/>
      <c r="I17" s="12" t="inlineStr"/>
      <c r="J17" s="12" t="inlineStr"/>
      <c r="K17" s="12" t="inlineStr"/>
      <c r="L17" s="8" t="inlineStr"/>
    </row>
    <row r="18">
      <c r="A18" s="11" t="inlineStr"/>
      <c r="B18" s="12" t="inlineStr">
        <is>
          <t>3</t>
        </is>
      </c>
      <c r="C18" s="12" t="inlineStr">
        <is>
          <t>4</t>
        </is>
      </c>
      <c r="D18" s="12" t="inlineStr">
        <is>
          <t>77.5%</t>
        </is>
      </c>
      <c r="E18" s="12">
        <f>MROUND('Start Here'!$C$8*0.775,5)</f>
        <v/>
      </c>
      <c r="F18" s="12" t="inlineStr">
        <is>
          <t>7.5</t>
        </is>
      </c>
      <c r="G18" s="12" t="inlineStr">
        <is>
          <t>3-4 min</t>
        </is>
      </c>
      <c r="H18" s="13" t="n"/>
      <c r="I18" s="12" t="inlineStr"/>
      <c r="J18" s="12" t="inlineStr"/>
      <c r="K18" s="12" t="inlineStr"/>
      <c r="L18" s="8" t="inlineStr"/>
    </row>
    <row r="19">
      <c r="A19" s="11" t="inlineStr"/>
      <c r="B19" s="12" t="inlineStr">
        <is>
          <t>4</t>
        </is>
      </c>
      <c r="C19" s="12" t="inlineStr">
        <is>
          <t>4</t>
        </is>
      </c>
      <c r="D19" s="12" t="inlineStr">
        <is>
          <t>77.5%</t>
        </is>
      </c>
      <c r="E19" s="12">
        <f>MROUND('Start Here'!$C$8*0.775,5)</f>
        <v/>
      </c>
      <c r="F19" s="12" t="inlineStr">
        <is>
          <t>7.5</t>
        </is>
      </c>
      <c r="G19" s="12" t="inlineStr">
        <is>
          <t>3-4 min</t>
        </is>
      </c>
      <c r="H19" s="14" t="n"/>
      <c r="I19" s="12" t="inlineStr"/>
      <c r="J19" s="12" t="inlineStr"/>
      <c r="K19" s="12" t="inlineStr"/>
      <c r="L19" s="8" t="inlineStr"/>
    </row>
    <row r="20" ht="42" customHeight="1">
      <c r="A20" s="15" t="inlineStr">
        <is>
          <t>Weighted Pull-Up</t>
        </is>
      </c>
      <c r="B20" s="16" t="inlineStr">
        <is>
          <t>4</t>
        </is>
      </c>
      <c r="C20" s="16" t="inlineStr">
        <is>
          <t>6-8</t>
        </is>
      </c>
      <c r="D20" s="16" t="inlineStr">
        <is>
          <t>—</t>
        </is>
      </c>
      <c r="E20" s="16" t="inlineStr">
        <is>
          <t>Your pick</t>
        </is>
      </c>
      <c r="F20" s="16" t="inlineStr">
        <is>
          <t>8</t>
        </is>
      </c>
      <c r="G20" s="16" t="inlineStr">
        <is>
          <t>2-3 min</t>
        </is>
      </c>
      <c r="H20" s="17" t="inlineStr">
        <is>
          <t>Add weight when you own 4x8 at bodyweight+. Dead hang start, drive elbows to hips, chest to bar. Lats build your bench arch and your V-taper.</t>
        </is>
      </c>
      <c r="I20" s="16" t="inlineStr"/>
      <c r="J20" s="16" t="inlineStr"/>
      <c r="K20" s="16" t="inlineStr"/>
      <c r="L20" s="17" t="inlineStr"/>
    </row>
    <row r="21" ht="42" customHeight="1">
      <c r="A21" s="11" t="inlineStr">
        <is>
          <t>Seated DB Shoulder Press</t>
        </is>
      </c>
      <c r="B21" s="12" t="inlineStr">
        <is>
          <t>3</t>
        </is>
      </c>
      <c r="C21" s="12" t="inlineStr">
        <is>
          <t>8-10</t>
        </is>
      </c>
      <c r="D21" s="12" t="inlineStr">
        <is>
          <t>—</t>
        </is>
      </c>
      <c r="E21" s="12" t="inlineStr">
        <is>
          <t>Your pick</t>
        </is>
      </c>
      <c r="F21" s="12" t="inlineStr">
        <is>
          <t>8</t>
        </is>
      </c>
      <c r="G21" s="12" t="inlineStr">
        <is>
          <t>2 min</t>
        </is>
      </c>
      <c r="H21" s="8" t="inlineStr">
        <is>
          <t>Slight back support, press up-and-in, stop just short of lockout to keep tension on delts. Start ~55-65s.</t>
        </is>
      </c>
      <c r="I21" s="12" t="inlineStr"/>
      <c r="J21" s="12" t="inlineStr"/>
      <c r="K21" s="12" t="inlineStr"/>
      <c r="L21" s="8" t="inlineStr"/>
    </row>
    <row r="22" ht="42" customHeight="1">
      <c r="A22" s="15" t="inlineStr">
        <is>
          <t>Chest-Supported Row</t>
        </is>
      </c>
      <c r="B22" s="16" t="inlineStr">
        <is>
          <t>3</t>
        </is>
      </c>
      <c r="C22" s="16" t="inlineStr">
        <is>
          <t>10-12</t>
        </is>
      </c>
      <c r="D22" s="16" t="inlineStr">
        <is>
          <t>—</t>
        </is>
      </c>
      <c r="E22" s="16" t="inlineStr">
        <is>
          <t>Your pick</t>
        </is>
      </c>
      <c r="F22" s="16" t="inlineStr">
        <is>
          <t>8</t>
        </is>
      </c>
      <c r="G22" s="16" t="inlineStr">
        <is>
          <t>90 sec</t>
        </is>
      </c>
      <c r="H22" s="17" t="inlineStr">
        <is>
          <t>Chest glued to pad — no cheating with body English. Pull to lower ribs, squeeze the shoulder blades for 1 sec.</t>
        </is>
      </c>
      <c r="I22" s="16" t="inlineStr"/>
      <c r="J22" s="16" t="inlineStr"/>
      <c r="K22" s="16" t="inlineStr"/>
      <c r="L22" s="17" t="inlineStr"/>
    </row>
    <row r="23" ht="42" customHeight="1">
      <c r="A23" s="11" t="inlineStr">
        <is>
          <t>SUPERSET: EZ-Bar Curl + Overhead Cable Extension</t>
        </is>
      </c>
      <c r="B23" s="12" t="inlineStr">
        <is>
          <t>3</t>
        </is>
      </c>
      <c r="C23" s="12" t="inlineStr">
        <is>
          <t>10-12 each</t>
        </is>
      </c>
      <c r="D23" s="12" t="inlineStr">
        <is>
          <t>—</t>
        </is>
      </c>
      <c r="E23" s="12" t="inlineStr">
        <is>
          <t>Your pick</t>
        </is>
      </c>
      <c r="F23" s="12" t="inlineStr">
        <is>
          <t>8</t>
        </is>
      </c>
      <c r="G23" s="12" t="inlineStr">
        <is>
          <t>90 sec after pair</t>
        </is>
      </c>
      <c r="H23" s="8" t="inlineStr">
        <is>
          <t>Curls: elbows pinned, no swing. Overhead extensions: full stretch behind head — long-head triceps grow from the stretch. Alternate exercises, rest after both.</t>
        </is>
      </c>
      <c r="I23" s="12" t="inlineStr"/>
      <c r="J23" s="12" t="inlineStr"/>
      <c r="K23" s="12" t="inlineStr"/>
      <c r="L23" s="8" t="inlineStr"/>
    </row>
    <row r="24" ht="42" customHeight="1">
      <c r="A24" s="15" t="inlineStr">
        <is>
          <t>Face Pull</t>
        </is>
      </c>
      <c r="B24" s="16" t="inlineStr">
        <is>
          <t>3</t>
        </is>
      </c>
      <c r="C24" s="16" t="inlineStr">
        <is>
          <t>15-20</t>
        </is>
      </c>
      <c r="D24" s="16" t="inlineStr">
        <is>
          <t>—</t>
        </is>
      </c>
      <c r="E24" s="16" t="inlineStr">
        <is>
          <t>Your pick</t>
        </is>
      </c>
      <c r="F24" s="16" t="inlineStr">
        <is>
          <t>8</t>
        </is>
      </c>
      <c r="G24" s="16" t="inlineStr">
        <is>
          <t>60 sec</t>
        </is>
      </c>
      <c r="H24" s="17" t="inlineStr">
        <is>
          <t>Rope to forehead, thumbs back, external rotate at the end. Shoulder insurance — never skip these.</t>
        </is>
      </c>
      <c r="I24" s="16" t="inlineStr"/>
      <c r="J24" s="16" t="inlineStr"/>
      <c r="K24" s="16" t="inlineStr"/>
      <c r="L24" s="17" t="inlineStr"/>
    </row>
    <row r="26" ht="20" customHeight="1">
      <c r="A26" s="10" t="inlineStr">
        <is>
          <t>SATURDAY — LOWER B: DEADLIFT + ATHLETIC LOWER  (long session — take your time)</t>
        </is>
      </c>
    </row>
    <row r="27">
      <c r="A27" s="4" t="inlineStr">
        <is>
          <t>Exercise</t>
        </is>
      </c>
      <c r="B27" s="4" t="inlineStr">
        <is>
          <t>Set</t>
        </is>
      </c>
      <c r="C27" s="4" t="inlineStr">
        <is>
          <t>Target Reps</t>
        </is>
      </c>
      <c r="D27" s="4" t="inlineStr">
        <is>
          <t>%1RM</t>
        </is>
      </c>
      <c r="E27" s="4" t="inlineStr">
        <is>
          <t>Target Weight</t>
        </is>
      </c>
      <c r="F27" s="4" t="inlineStr">
        <is>
          <t>Target RPE</t>
        </is>
      </c>
      <c r="G27" s="4" t="inlineStr">
        <is>
          <t>Rest</t>
        </is>
      </c>
      <c r="H27" s="4" t="inlineStr">
        <is>
          <t>Coaching Cues / Special Instructions</t>
        </is>
      </c>
      <c r="I27" s="4" t="inlineStr">
        <is>
          <t>Actual Weight</t>
        </is>
      </c>
      <c r="J27" s="4" t="inlineStr">
        <is>
          <t>Actual Reps</t>
        </is>
      </c>
      <c r="K27" s="4" t="inlineStr">
        <is>
          <t>Actual RPE</t>
        </is>
      </c>
      <c r="L27" s="4" t="inlineStr">
        <is>
          <t>Set Notes (how it felt, bar speed, pump, tweaks)</t>
        </is>
      </c>
    </row>
    <row r="28">
      <c r="A28" s="11" t="inlineStr">
        <is>
          <t>Deadlift</t>
        </is>
      </c>
      <c r="B28" s="12" t="inlineStr">
        <is>
          <t>1</t>
        </is>
      </c>
      <c r="C28" s="12" t="inlineStr">
        <is>
          <t>3</t>
        </is>
      </c>
      <c r="D28" s="12" t="inlineStr">
        <is>
          <t>77.5%</t>
        </is>
      </c>
      <c r="E28" s="12">
        <f>MROUND('Start Here'!$C$9*0.775,5)</f>
        <v/>
      </c>
      <c r="F28" s="12" t="inlineStr">
        <is>
          <t>7.5</t>
        </is>
      </c>
      <c r="G28" s="12" t="inlineStr">
        <is>
          <t>3-4 min</t>
        </is>
      </c>
      <c r="H28" s="8" t="inlineStr">
        <is>
          <t>Wedge hard, pull the slack out until the bar clicks, push the floor away. Hips and shoulders rise together. Reset every rep — no touch-and-go here.</t>
        </is>
      </c>
      <c r="I28" s="12" t="inlineStr"/>
      <c r="J28" s="12" t="inlineStr"/>
      <c r="K28" s="12" t="inlineStr"/>
      <c r="L28" s="8" t="inlineStr"/>
    </row>
    <row r="29">
      <c r="A29" s="11" t="inlineStr"/>
      <c r="B29" s="12" t="inlineStr">
        <is>
          <t>2</t>
        </is>
      </c>
      <c r="C29" s="12" t="inlineStr">
        <is>
          <t>3</t>
        </is>
      </c>
      <c r="D29" s="12" t="inlineStr">
        <is>
          <t>77.5%</t>
        </is>
      </c>
      <c r="E29" s="12">
        <f>MROUND('Start Here'!$C$9*0.775,5)</f>
        <v/>
      </c>
      <c r="F29" s="12" t="inlineStr">
        <is>
          <t>7.5</t>
        </is>
      </c>
      <c r="G29" s="12" t="inlineStr">
        <is>
          <t>3-4 min</t>
        </is>
      </c>
      <c r="H29" s="13" t="n"/>
      <c r="I29" s="12" t="inlineStr"/>
      <c r="J29" s="12" t="inlineStr"/>
      <c r="K29" s="12" t="inlineStr"/>
      <c r="L29" s="8" t="inlineStr"/>
    </row>
    <row r="30">
      <c r="A30" s="11" t="inlineStr"/>
      <c r="B30" s="12" t="inlineStr">
        <is>
          <t>3</t>
        </is>
      </c>
      <c r="C30" s="12" t="inlineStr">
        <is>
          <t>3</t>
        </is>
      </c>
      <c r="D30" s="12" t="inlineStr">
        <is>
          <t>77.5%</t>
        </is>
      </c>
      <c r="E30" s="12">
        <f>MROUND('Start Here'!$C$9*0.775,5)</f>
        <v/>
      </c>
      <c r="F30" s="12" t="inlineStr">
        <is>
          <t>7.5</t>
        </is>
      </c>
      <c r="G30" s="12" t="inlineStr">
        <is>
          <t>3-4 min</t>
        </is>
      </c>
      <c r="H30" s="14" t="n"/>
      <c r="I30" s="12" t="inlineStr"/>
      <c r="J30" s="12" t="inlineStr"/>
      <c r="K30" s="12" t="inlineStr"/>
      <c r="L30" s="8" t="inlineStr"/>
    </row>
    <row r="31">
      <c r="A31" s="11" t="inlineStr">
        <is>
          <t>Paused Squat (2-ct)</t>
        </is>
      </c>
      <c r="B31" s="12" t="inlineStr">
        <is>
          <t>1</t>
        </is>
      </c>
      <c r="C31" s="12" t="inlineStr">
        <is>
          <t>4</t>
        </is>
      </c>
      <c r="D31" s="12" t="inlineStr">
        <is>
          <t>67.5%</t>
        </is>
      </c>
      <c r="E31" s="12">
        <f>MROUND('Start Here'!$C$7*0.675,5)</f>
        <v/>
      </c>
      <c r="F31" s="12" t="inlineStr">
        <is>
          <t>7.5</t>
        </is>
      </c>
      <c r="G31" s="12" t="inlineStr">
        <is>
          <t>3-4 min</t>
        </is>
      </c>
      <c r="H31" s="8" t="inlineStr">
        <is>
          <t>2-second dead-stop in the hole, stay braced and upright, no bounce. Builds bottom-position strength and quad size. Own the pause — don't rush it.</t>
        </is>
      </c>
      <c r="I31" s="12" t="inlineStr"/>
      <c r="J31" s="12" t="inlineStr"/>
      <c r="K31" s="12" t="inlineStr"/>
      <c r="L31" s="8" t="inlineStr"/>
    </row>
    <row r="32">
      <c r="A32" s="11" t="inlineStr"/>
      <c r="B32" s="12" t="inlineStr">
        <is>
          <t>2</t>
        </is>
      </c>
      <c r="C32" s="12" t="inlineStr">
        <is>
          <t>4</t>
        </is>
      </c>
      <c r="D32" s="12" t="inlineStr">
        <is>
          <t>67.5%</t>
        </is>
      </c>
      <c r="E32" s="12">
        <f>MROUND('Start Here'!$C$7*0.675,5)</f>
        <v/>
      </c>
      <c r="F32" s="12" t="inlineStr">
        <is>
          <t>7.5</t>
        </is>
      </c>
      <c r="G32" s="12" t="inlineStr">
        <is>
          <t>3-4 min</t>
        </is>
      </c>
      <c r="H32" s="13" t="n"/>
      <c r="I32" s="12" t="inlineStr"/>
      <c r="J32" s="12" t="inlineStr"/>
      <c r="K32" s="12" t="inlineStr"/>
      <c r="L32" s="8" t="inlineStr"/>
    </row>
    <row r="33">
      <c r="A33" s="11" t="inlineStr"/>
      <c r="B33" s="12" t="inlineStr">
        <is>
          <t>3</t>
        </is>
      </c>
      <c r="C33" s="12" t="inlineStr">
        <is>
          <t>4</t>
        </is>
      </c>
      <c r="D33" s="12" t="inlineStr">
        <is>
          <t>67.5%</t>
        </is>
      </c>
      <c r="E33" s="12">
        <f>MROUND('Start Here'!$C$7*0.675,5)</f>
        <v/>
      </c>
      <c r="F33" s="12" t="inlineStr">
        <is>
          <t>7.5</t>
        </is>
      </c>
      <c r="G33" s="12" t="inlineStr">
        <is>
          <t>3-4 min</t>
        </is>
      </c>
      <c r="H33" s="14" t="n"/>
      <c r="I33" s="12" t="inlineStr"/>
      <c r="J33" s="12" t="inlineStr"/>
      <c r="K33" s="12" t="inlineStr"/>
      <c r="L33" s="8" t="inlineStr"/>
    </row>
    <row r="34" ht="42" customHeight="1">
      <c r="A34" s="15" t="inlineStr">
        <is>
          <t>Bulgarian Split Squat</t>
        </is>
      </c>
      <c r="B34" s="16" t="inlineStr">
        <is>
          <t>3</t>
        </is>
      </c>
      <c r="C34" s="16" t="inlineStr">
        <is>
          <t>8-10 /leg</t>
        </is>
      </c>
      <c r="D34" s="16" t="inlineStr">
        <is>
          <t>—</t>
        </is>
      </c>
      <c r="E34" s="16" t="inlineStr">
        <is>
          <t>Your pick</t>
        </is>
      </c>
      <c r="F34" s="16" t="inlineStr">
        <is>
          <t>8</t>
        </is>
      </c>
      <c r="G34" s="16" t="inlineStr">
        <is>
          <t>2 min</t>
        </is>
      </c>
      <c r="H34" s="17" t="inlineStr">
        <is>
          <t>Rear foot elevated, slight forward lean for glutes, upright for quads — pick your target. This is your athleticism builder: balance, single-leg strength, hip stability. Start with 40-50 lb DBs.</t>
        </is>
      </c>
      <c r="I34" s="16" t="inlineStr"/>
      <c r="J34" s="16" t="inlineStr"/>
      <c r="K34" s="16" t="inlineStr"/>
      <c r="L34" s="17" t="inlineStr"/>
    </row>
    <row r="35" ht="42" customHeight="1">
      <c r="A35" s="11" t="inlineStr">
        <is>
          <t>Back Extension (glute bias)</t>
        </is>
      </c>
      <c r="B35" s="12" t="inlineStr">
        <is>
          <t>3</t>
        </is>
      </c>
      <c r="C35" s="12" t="inlineStr">
        <is>
          <t>12-15</t>
        </is>
      </c>
      <c r="D35" s="12" t="inlineStr">
        <is>
          <t>—</t>
        </is>
      </c>
      <c r="E35" s="12" t="inlineStr">
        <is>
          <t>Your pick</t>
        </is>
      </c>
      <c r="F35" s="12" t="inlineStr">
        <is>
          <t>8-9</t>
        </is>
      </c>
      <c r="G35" s="12" t="inlineStr">
        <is>
          <t>90 sec</t>
        </is>
      </c>
      <c r="H35" s="8" t="inlineStr">
        <is>
          <t>Round upper back slightly, tuck chin, squeeze glutes to lift — don't hyperextend the spine. Hold a plate when 15 gets easy.</t>
        </is>
      </c>
      <c r="I35" s="12" t="inlineStr"/>
      <c r="J35" s="12" t="inlineStr"/>
      <c r="K35" s="12" t="inlineStr"/>
      <c r="L35" s="8" t="inlineStr"/>
    </row>
    <row r="36" ht="42" customHeight="1">
      <c r="A36" s="15" t="inlineStr">
        <is>
          <t>Walking DB Lunge</t>
        </is>
      </c>
      <c r="B36" s="16" t="inlineStr">
        <is>
          <t>2</t>
        </is>
      </c>
      <c r="C36" s="16" t="inlineStr">
        <is>
          <t>20 steps</t>
        </is>
      </c>
      <c r="D36" s="16" t="inlineStr">
        <is>
          <t>—</t>
        </is>
      </c>
      <c r="E36" s="16" t="inlineStr">
        <is>
          <t>Your pick</t>
        </is>
      </c>
      <c r="F36" s="16" t="inlineStr">
        <is>
          <t>8</t>
        </is>
      </c>
      <c r="G36" s="16" t="inlineStr">
        <is>
          <t>2 min</t>
        </is>
      </c>
      <c r="H36" s="17" t="inlineStr">
        <is>
          <t>Long strides, soft knee touch, continuous walking. Brutal and athletic. Light DBs are plenty after everything else.</t>
        </is>
      </c>
      <c r="I36" s="16" t="inlineStr"/>
      <c r="J36" s="16" t="inlineStr"/>
      <c r="K36" s="16" t="inlineStr"/>
      <c r="L36" s="17" t="inlineStr"/>
    </row>
    <row r="37" ht="42" customHeight="1">
      <c r="A37" s="11" t="inlineStr">
        <is>
          <t>Seated Calf Raise</t>
        </is>
      </c>
      <c r="B37" s="12" t="inlineStr">
        <is>
          <t>4</t>
        </is>
      </c>
      <c r="C37" s="12" t="inlineStr">
        <is>
          <t>12-15</t>
        </is>
      </c>
      <c r="D37" s="12" t="inlineStr">
        <is>
          <t>—</t>
        </is>
      </c>
      <c r="E37" s="12" t="inlineStr">
        <is>
          <t>Your pick</t>
        </is>
      </c>
      <c r="F37" s="12" t="inlineStr">
        <is>
          <t>8-9</t>
        </is>
      </c>
      <c r="G37" s="12" t="inlineStr">
        <is>
          <t>60-90 sec</t>
        </is>
      </c>
      <c r="H37" s="8" t="inlineStr">
        <is>
          <t>Soleus focus. Slow 3-sec negative, deep stretch, pause at top.</t>
        </is>
      </c>
      <c r="I37" s="12" t="inlineStr"/>
      <c r="J37" s="12" t="inlineStr"/>
      <c r="K37" s="12" t="inlineStr"/>
      <c r="L37" s="8" t="inlineStr"/>
    </row>
    <row r="38" ht="42" customHeight="1">
      <c r="A38" s="15" t="inlineStr">
        <is>
          <t>Hanging Leg Raise</t>
        </is>
      </c>
      <c r="B38" s="16" t="inlineStr">
        <is>
          <t>3</t>
        </is>
      </c>
      <c r="C38" s="16" t="inlineStr">
        <is>
          <t>10-15</t>
        </is>
      </c>
      <c r="D38" s="16" t="inlineStr">
        <is>
          <t>—</t>
        </is>
      </c>
      <c r="E38" s="16" t="inlineStr">
        <is>
          <t>Your pick</t>
        </is>
      </c>
      <c r="F38" s="16" t="inlineStr">
        <is>
          <t>8</t>
        </is>
      </c>
      <c r="G38" s="16" t="inlineStr">
        <is>
          <t>90 sec</t>
        </is>
      </c>
      <c r="H38" s="17" t="inlineStr">
        <is>
          <t>Posterior pelvic tilt at the top — curl the pelvis up, don't just swing the legs. Bend knees if needed.</t>
        </is>
      </c>
      <c r="I38" s="16" t="inlineStr"/>
      <c r="J38" s="16" t="inlineStr"/>
      <c r="K38" s="16" t="inlineStr"/>
      <c r="L38" s="17" t="inlineStr"/>
    </row>
    <row r="40" ht="20" customHeight="1">
      <c r="A40" s="10" t="inlineStr">
        <is>
          <t>SUNDAY — UPPER B: VOLUME BENCH + PUMP DAY  (long session — chase the pump)</t>
        </is>
      </c>
    </row>
    <row r="41">
      <c r="A41" s="4" t="inlineStr">
        <is>
          <t>Exercise</t>
        </is>
      </c>
      <c r="B41" s="4" t="inlineStr">
        <is>
          <t>Set</t>
        </is>
      </c>
      <c r="C41" s="4" t="inlineStr">
        <is>
          <t>Target Reps</t>
        </is>
      </c>
      <c r="D41" s="4" t="inlineStr">
        <is>
          <t>%1RM</t>
        </is>
      </c>
      <c r="E41" s="4" t="inlineStr">
        <is>
          <t>Target Weight</t>
        </is>
      </c>
      <c r="F41" s="4" t="inlineStr">
        <is>
          <t>Target RPE</t>
        </is>
      </c>
      <c r="G41" s="4" t="inlineStr">
        <is>
          <t>Rest</t>
        </is>
      </c>
      <c r="H41" s="4" t="inlineStr">
        <is>
          <t>Coaching Cues / Special Instructions</t>
        </is>
      </c>
      <c r="I41" s="4" t="inlineStr">
        <is>
          <t>Actual Weight</t>
        </is>
      </c>
      <c r="J41" s="4" t="inlineStr">
        <is>
          <t>Actual Reps</t>
        </is>
      </c>
      <c r="K41" s="4" t="inlineStr">
        <is>
          <t>Actual RPE</t>
        </is>
      </c>
      <c r="L41" s="4" t="inlineStr">
        <is>
          <t>Set Notes (how it felt, bar speed, pump, tweaks)</t>
        </is>
      </c>
    </row>
    <row r="42">
      <c r="A42" s="11" t="inlineStr">
        <is>
          <t>Touch-and-Go Bench</t>
        </is>
      </c>
      <c r="B42" s="12" t="inlineStr">
        <is>
          <t>1</t>
        </is>
      </c>
      <c r="C42" s="12" t="inlineStr">
        <is>
          <t>8</t>
        </is>
      </c>
      <c r="D42" s="12" t="inlineStr">
        <is>
          <t>67.5%</t>
        </is>
      </c>
      <c r="E42" s="12">
        <f>MROUND('Start Here'!$C$8*0.675,5)</f>
        <v/>
      </c>
      <c r="F42" s="12" t="inlineStr">
        <is>
          <t>7-8</t>
        </is>
      </c>
      <c r="G42" s="12" t="inlineStr">
        <is>
          <t>3-4 min</t>
        </is>
      </c>
      <c r="H42" s="8" t="inlineStr">
        <is>
          <t>Smooth touch, no bounce off the chest. Slight tuck, squeeze pecs hard at lockout each rep. This is a muscle set, not a strength test — chase the pec pump.</t>
        </is>
      </c>
      <c r="I42" s="12" t="inlineStr"/>
      <c r="J42" s="12" t="inlineStr"/>
      <c r="K42" s="12" t="inlineStr"/>
      <c r="L42" s="8" t="inlineStr"/>
    </row>
    <row r="43">
      <c r="A43" s="11" t="inlineStr"/>
      <c r="B43" s="12" t="inlineStr">
        <is>
          <t>2</t>
        </is>
      </c>
      <c r="C43" s="12" t="inlineStr">
        <is>
          <t>8</t>
        </is>
      </c>
      <c r="D43" s="12" t="inlineStr">
        <is>
          <t>67.5%</t>
        </is>
      </c>
      <c r="E43" s="12">
        <f>MROUND('Start Here'!$C$8*0.675,5)</f>
        <v/>
      </c>
      <c r="F43" s="12" t="inlineStr">
        <is>
          <t>7-8</t>
        </is>
      </c>
      <c r="G43" s="12" t="inlineStr">
        <is>
          <t>3-4 min</t>
        </is>
      </c>
      <c r="H43" s="13" t="n"/>
      <c r="I43" s="12" t="inlineStr"/>
      <c r="J43" s="12" t="inlineStr"/>
      <c r="K43" s="12" t="inlineStr"/>
      <c r="L43" s="8" t="inlineStr"/>
    </row>
    <row r="44">
      <c r="A44" s="11" t="inlineStr"/>
      <c r="B44" s="12" t="inlineStr">
        <is>
          <t>3</t>
        </is>
      </c>
      <c r="C44" s="12" t="inlineStr">
        <is>
          <t>8</t>
        </is>
      </c>
      <c r="D44" s="12" t="inlineStr">
        <is>
          <t>67.5%</t>
        </is>
      </c>
      <c r="E44" s="12">
        <f>MROUND('Start Here'!$C$8*0.675,5)</f>
        <v/>
      </c>
      <c r="F44" s="12" t="inlineStr">
        <is>
          <t>7-8</t>
        </is>
      </c>
      <c r="G44" s="12" t="inlineStr">
        <is>
          <t>3-4 min</t>
        </is>
      </c>
      <c r="H44" s="13" t="n"/>
      <c r="I44" s="12" t="inlineStr"/>
      <c r="J44" s="12" t="inlineStr"/>
      <c r="K44" s="12" t="inlineStr"/>
      <c r="L44" s="8" t="inlineStr"/>
    </row>
    <row r="45">
      <c r="A45" s="11" t="inlineStr"/>
      <c r="B45" s="12" t="inlineStr">
        <is>
          <t>4</t>
        </is>
      </c>
      <c r="C45" s="12" t="inlineStr">
        <is>
          <t>8</t>
        </is>
      </c>
      <c r="D45" s="12" t="inlineStr">
        <is>
          <t>67.5%</t>
        </is>
      </c>
      <c r="E45" s="12">
        <f>MROUND('Start Here'!$C$8*0.675,5)</f>
        <v/>
      </c>
      <c r="F45" s="12" t="inlineStr">
        <is>
          <t>7-8</t>
        </is>
      </c>
      <c r="G45" s="12" t="inlineStr">
        <is>
          <t>3-4 min</t>
        </is>
      </c>
      <c r="H45" s="14" t="n"/>
      <c r="I45" s="12" t="inlineStr"/>
      <c r="J45" s="12" t="inlineStr"/>
      <c r="K45" s="12" t="inlineStr"/>
      <c r="L45" s="8" t="inlineStr"/>
    </row>
    <row r="46" ht="42" customHeight="1">
      <c r="A46" s="15" t="inlineStr">
        <is>
          <t>Incline DB Press (30°)</t>
        </is>
      </c>
      <c r="B46" s="16" t="inlineStr">
        <is>
          <t>3</t>
        </is>
      </c>
      <c r="C46" s="16" t="inlineStr">
        <is>
          <t>10-12</t>
        </is>
      </c>
      <c r="D46" s="16" t="inlineStr">
        <is>
          <t>—</t>
        </is>
      </c>
      <c r="E46" s="16" t="inlineStr">
        <is>
          <t>Your pick</t>
        </is>
      </c>
      <c r="F46" s="16" t="inlineStr">
        <is>
          <t>8</t>
        </is>
      </c>
      <c r="G46" s="16" t="inlineStr">
        <is>
          <t>2 min</t>
        </is>
      </c>
      <c r="H46" s="17" t="inlineStr">
        <is>
          <t>Deep stretch at the bottom, press up-and-in, squeeze upper pecs at top. Don't touch the DBs together hard — keep tension. Start ~75-85s.</t>
        </is>
      </c>
      <c r="I46" s="16" t="inlineStr"/>
      <c r="J46" s="16" t="inlineStr"/>
      <c r="K46" s="16" t="inlineStr"/>
      <c r="L46" s="17" t="inlineStr"/>
    </row>
    <row r="47" ht="42" customHeight="1">
      <c r="A47" s="11" t="inlineStr">
        <is>
          <t>Lat Pulldown (neutral wide)</t>
        </is>
      </c>
      <c r="B47" s="12" t="inlineStr">
        <is>
          <t>4</t>
        </is>
      </c>
      <c r="C47" s="12" t="inlineStr">
        <is>
          <t>10-12</t>
        </is>
      </c>
      <c r="D47" s="12" t="inlineStr">
        <is>
          <t>—</t>
        </is>
      </c>
      <c r="E47" s="12" t="inlineStr">
        <is>
          <t>Your pick</t>
        </is>
      </c>
      <c r="F47" s="12" t="inlineStr">
        <is>
          <t>8</t>
        </is>
      </c>
      <c r="G47" s="12" t="inlineStr">
        <is>
          <t>90 sec</t>
        </is>
      </c>
      <c r="H47" s="8" t="inlineStr">
        <is>
          <t>Drive elbows down and back, pause 1 sec at the chest, 3-sec controlled return. Think 'elbows in back pockets' — feel the lats, not the arms.</t>
        </is>
      </c>
      <c r="I47" s="12" t="inlineStr"/>
      <c r="J47" s="12" t="inlineStr"/>
      <c r="K47" s="12" t="inlineStr"/>
      <c r="L47" s="8" t="inlineStr"/>
    </row>
    <row r="48" ht="42" customHeight="1">
      <c r="A48" s="15" t="inlineStr">
        <is>
          <t>Single-Arm Cable Row</t>
        </is>
      </c>
      <c r="B48" s="16" t="inlineStr">
        <is>
          <t>3</t>
        </is>
      </c>
      <c r="C48" s="16" t="inlineStr">
        <is>
          <t>10-12 /arm</t>
        </is>
      </c>
      <c r="D48" s="16" t="inlineStr">
        <is>
          <t>—</t>
        </is>
      </c>
      <c r="E48" s="16" t="inlineStr">
        <is>
          <t>Your pick</t>
        </is>
      </c>
      <c r="F48" s="16" t="inlineStr">
        <is>
          <t>8</t>
        </is>
      </c>
      <c r="G48" s="16" t="inlineStr">
        <is>
          <t>90 sec</t>
        </is>
      </c>
      <c r="H48" s="17" t="inlineStr">
        <is>
          <t>Allow a full stretch and slight rotation forward, then row and squeeze. One side at a time = maximum mind-muscle connection.</t>
        </is>
      </c>
      <c r="I48" s="16" t="inlineStr"/>
      <c r="J48" s="16" t="inlineStr"/>
      <c r="K48" s="16" t="inlineStr"/>
      <c r="L48" s="17" t="inlineStr"/>
    </row>
    <row r="49" ht="42" customHeight="1">
      <c r="A49" s="11" t="inlineStr">
        <is>
          <t>DB Lateral Raise</t>
        </is>
      </c>
      <c r="B49" s="12" t="inlineStr">
        <is>
          <t>4</t>
        </is>
      </c>
      <c r="C49" s="12" t="inlineStr">
        <is>
          <t>12-15</t>
        </is>
      </c>
      <c r="D49" s="12" t="inlineStr">
        <is>
          <t>—</t>
        </is>
      </c>
      <c r="E49" s="12" t="inlineStr">
        <is>
          <t>Your pick</t>
        </is>
      </c>
      <c r="F49" s="12" t="inlineStr">
        <is>
          <t>9</t>
        </is>
      </c>
      <c r="G49" s="12" t="inlineStr">
        <is>
          <t>60-75 sec</t>
        </is>
      </c>
      <c r="H49" s="8" t="inlineStr">
        <is>
          <t>Lead with the elbows, tilt pinkies slightly up, stop at shoulder height. Weeks 3 &amp; 7: drop-set the last set (drop ~40%, rep to near-failure). Side delts make you look athletic in a t-shirt.</t>
        </is>
      </c>
      <c r="I49" s="12" t="inlineStr"/>
      <c r="J49" s="12" t="inlineStr"/>
      <c r="K49" s="12" t="inlineStr"/>
      <c r="L49" s="8" t="inlineStr"/>
    </row>
    <row r="50" ht="42" customHeight="1">
      <c r="A50" s="15" t="inlineStr">
        <is>
          <t>Cable Fly (low-to-high or pec deck)</t>
        </is>
      </c>
      <c r="B50" s="16" t="inlineStr">
        <is>
          <t>3</t>
        </is>
      </c>
      <c r="C50" s="16" t="inlineStr">
        <is>
          <t>12-15</t>
        </is>
      </c>
      <c r="D50" s="16" t="inlineStr">
        <is>
          <t>—</t>
        </is>
      </c>
      <c r="E50" s="16" t="inlineStr">
        <is>
          <t>Your pick</t>
        </is>
      </c>
      <c r="F50" s="16" t="inlineStr">
        <is>
          <t>8-9</t>
        </is>
      </c>
      <c r="G50" s="16" t="inlineStr">
        <is>
          <t>60-90 sec</t>
        </is>
      </c>
      <c r="H50" s="17" t="inlineStr">
        <is>
          <t>Big stretch, hug a barrel, squeeze pecs together for a 1-count. Pure pump work — moderate weight, perfect reps.</t>
        </is>
      </c>
      <c r="I50" s="16" t="inlineStr"/>
      <c r="J50" s="16" t="inlineStr"/>
      <c r="K50" s="16" t="inlineStr"/>
      <c r="L50" s="17" t="inlineStr"/>
    </row>
    <row r="51" ht="42" customHeight="1">
      <c r="A51" s="11" t="inlineStr">
        <is>
          <t>SUPERSET: Incline DB Curl + Lying DB Skullcrusher</t>
        </is>
      </c>
      <c r="B51" s="12" t="inlineStr">
        <is>
          <t>3</t>
        </is>
      </c>
      <c r="C51" s="12" t="inlineStr">
        <is>
          <t>10-12 each</t>
        </is>
      </c>
      <c r="D51" s="12" t="inlineStr">
        <is>
          <t>—</t>
        </is>
      </c>
      <c r="E51" s="12" t="inlineStr">
        <is>
          <t>Your pick</t>
        </is>
      </c>
      <c r="F51" s="12" t="inlineStr">
        <is>
          <t>8-9</t>
        </is>
      </c>
      <c r="G51" s="12" t="inlineStr">
        <is>
          <t>90 sec after pair</t>
        </is>
      </c>
      <c r="H51" s="8" t="inlineStr">
        <is>
          <t>Incline curls: full stretch at the bottom, biceps long-head heaven. Skullcrushers: lower behind the head slightly for more stretch.</t>
        </is>
      </c>
      <c r="I51" s="12" t="inlineStr"/>
      <c r="J51" s="12" t="inlineStr"/>
      <c r="K51" s="12" t="inlineStr"/>
      <c r="L51" s="8" t="inlineStr"/>
    </row>
    <row r="52" ht="42" customHeight="1">
      <c r="A52" s="15" t="inlineStr">
        <is>
          <t>SUPERSET: Hammer Curl + Rope Pressdown</t>
        </is>
      </c>
      <c r="B52" s="16" t="inlineStr">
        <is>
          <t>2</t>
        </is>
      </c>
      <c r="C52" s="16" t="inlineStr">
        <is>
          <t>12-15 each</t>
        </is>
      </c>
      <c r="D52" s="16" t="inlineStr">
        <is>
          <t>—</t>
        </is>
      </c>
      <c r="E52" s="16" t="inlineStr">
        <is>
          <t>Your pick</t>
        </is>
      </c>
      <c r="F52" s="16" t="inlineStr">
        <is>
          <t>9</t>
        </is>
      </c>
      <c r="G52" s="16" t="inlineStr">
        <is>
          <t>60 sec after pair</t>
        </is>
      </c>
      <c r="H52" s="17" t="inlineStr">
        <is>
          <t>Finisher — chase the arm pump. Strict form, short rests, walk out with sleeves tight.</t>
        </is>
      </c>
      <c r="I52" s="16" t="inlineStr"/>
      <c r="J52" s="16" t="inlineStr"/>
      <c r="K52" s="16" t="inlineStr"/>
      <c r="L52" s="17" t="inlineStr"/>
    </row>
    <row r="53" ht="42" customHeight="1">
      <c r="A53" s="11" t="inlineStr">
        <is>
          <t>Reverse Pec Deck (rear delts)</t>
        </is>
      </c>
      <c r="B53" s="12" t="inlineStr">
        <is>
          <t>3</t>
        </is>
      </c>
      <c r="C53" s="12" t="inlineStr">
        <is>
          <t>15-20</t>
        </is>
      </c>
      <c r="D53" s="12" t="inlineStr">
        <is>
          <t>—</t>
        </is>
      </c>
      <c r="E53" s="12" t="inlineStr">
        <is>
          <t>Your pick</t>
        </is>
      </c>
      <c r="F53" s="12" t="inlineStr">
        <is>
          <t>8-9</t>
        </is>
      </c>
      <c r="G53" s="12" t="inlineStr">
        <is>
          <t>60 sec</t>
        </is>
      </c>
      <c r="H53" s="8" t="inlineStr">
        <is>
          <t>Lead with elbows out, don't squeeze shoulder blades — keep it in the rear delts. Posture, shoulder health, 3-D delts.</t>
        </is>
      </c>
      <c r="I53" s="12" t="inlineStr"/>
      <c r="J53" s="12" t="inlineStr"/>
      <c r="K53" s="12" t="inlineStr"/>
      <c r="L53" s="8" t="inlineStr"/>
    </row>
  </sheetData>
  <mergeCells count="10">
    <mergeCell ref="A26:L26"/>
    <mergeCell ref="A2:L2"/>
    <mergeCell ref="H4:H7"/>
    <mergeCell ref="A1:L1"/>
    <mergeCell ref="H16:H19"/>
    <mergeCell ref="A14:L14"/>
    <mergeCell ref="H42:H45"/>
    <mergeCell ref="H28:H30"/>
    <mergeCell ref="A40:L40"/>
    <mergeCell ref="H31:H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9" t="inlineStr">
        <is>
          <t>FORGED 4-DAY POWERBUILDER  —  WEEK 6   |   BLOCK 2: STRENGTH EXPRESSION</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1" t="inlineStr">
        <is>
          <t>Competition Squat</t>
        </is>
      </c>
      <c r="B4" s="12" t="inlineStr">
        <is>
          <t>1</t>
        </is>
      </c>
      <c r="C4" s="12" t="inlineStr">
        <is>
          <t>3</t>
        </is>
      </c>
      <c r="D4" s="12" t="inlineStr">
        <is>
          <t>80%</t>
        </is>
      </c>
      <c r="E4" s="12">
        <f>MROUND('Start Here'!$C$7*0.8,5)</f>
        <v/>
      </c>
      <c r="F4" s="12" t="inlineStr">
        <is>
          <t>8</t>
        </is>
      </c>
      <c r="G4" s="12" t="inlineStr">
        <is>
          <t>3-4 min</t>
        </is>
      </c>
      <c r="H4" s="8" t="inlineStr">
        <is>
          <t>Full comp setup every set: same walkout, same bracing. Big 360° breath, spread the floor, drive up through mid-foot. Treat every rep like a platform rep.</t>
        </is>
      </c>
      <c r="I4" s="12" t="inlineStr"/>
      <c r="J4" s="12" t="inlineStr"/>
      <c r="K4" s="12" t="inlineStr"/>
      <c r="L4" s="8" t="inlineStr"/>
    </row>
    <row r="5">
      <c r="A5" s="11" t="inlineStr"/>
      <c r="B5" s="12" t="inlineStr">
        <is>
          <t>2</t>
        </is>
      </c>
      <c r="C5" s="12" t="inlineStr">
        <is>
          <t>3</t>
        </is>
      </c>
      <c r="D5" s="12" t="inlineStr">
        <is>
          <t>80%</t>
        </is>
      </c>
      <c r="E5" s="12">
        <f>MROUND('Start Here'!$C$7*0.8,5)</f>
        <v/>
      </c>
      <c r="F5" s="12" t="inlineStr">
        <is>
          <t>8</t>
        </is>
      </c>
      <c r="G5" s="12" t="inlineStr">
        <is>
          <t>3-4 min</t>
        </is>
      </c>
      <c r="H5" s="13" t="n"/>
      <c r="I5" s="12" t="inlineStr"/>
      <c r="J5" s="12" t="inlineStr"/>
      <c r="K5" s="12" t="inlineStr"/>
      <c r="L5" s="8" t="inlineStr"/>
    </row>
    <row r="6">
      <c r="A6" s="11" t="inlineStr"/>
      <c r="B6" s="12" t="inlineStr">
        <is>
          <t>3</t>
        </is>
      </c>
      <c r="C6" s="12" t="inlineStr">
        <is>
          <t>3</t>
        </is>
      </c>
      <c r="D6" s="12" t="inlineStr">
        <is>
          <t>80%</t>
        </is>
      </c>
      <c r="E6" s="12">
        <f>MROUND('Start Here'!$C$7*0.8,5)</f>
        <v/>
      </c>
      <c r="F6" s="12" t="inlineStr">
        <is>
          <t>8</t>
        </is>
      </c>
      <c r="G6" s="12" t="inlineStr">
        <is>
          <t>3-4 min</t>
        </is>
      </c>
      <c r="H6" s="13" t="n"/>
      <c r="I6" s="12" t="inlineStr"/>
      <c r="J6" s="12" t="inlineStr"/>
      <c r="K6" s="12" t="inlineStr"/>
      <c r="L6" s="8" t="inlineStr"/>
    </row>
    <row r="7">
      <c r="A7" s="11" t="inlineStr"/>
      <c r="B7" s="12" t="inlineStr">
        <is>
          <t>4</t>
        </is>
      </c>
      <c r="C7" s="12" t="inlineStr">
        <is>
          <t>3</t>
        </is>
      </c>
      <c r="D7" s="12" t="inlineStr">
        <is>
          <t>80%</t>
        </is>
      </c>
      <c r="E7" s="12">
        <f>MROUND('Start Here'!$C$7*0.8,5)</f>
        <v/>
      </c>
      <c r="F7" s="12" t="inlineStr">
        <is>
          <t>8</t>
        </is>
      </c>
      <c r="G7" s="12" t="inlineStr">
        <is>
          <t>3-4 min</t>
        </is>
      </c>
      <c r="H7" s="14" t="n"/>
      <c r="I7" s="12" t="inlineStr"/>
      <c r="J7" s="12" t="inlineStr"/>
      <c r="K7" s="12" t="inlineStr"/>
      <c r="L7" s="8" t="inlineStr"/>
    </row>
    <row r="8" ht="42" customHeight="1">
      <c r="A8" s="15" t="inlineStr">
        <is>
          <t>Romanian Deadlift</t>
        </is>
      </c>
      <c r="B8" s="16" t="inlineStr">
        <is>
          <t>3</t>
        </is>
      </c>
      <c r="C8" s="16" t="inlineStr">
        <is>
          <t>8-10</t>
        </is>
      </c>
      <c r="D8" s="16" t="inlineStr">
        <is>
          <t>—</t>
        </is>
      </c>
      <c r="E8" s="16" t="inlineStr">
        <is>
          <t>Your pick</t>
        </is>
      </c>
      <c r="F8" s="16" t="inlineStr">
        <is>
          <t>7-8</t>
        </is>
      </c>
      <c r="G8" s="16" t="inlineStr">
        <is>
          <t>2-3 min</t>
        </is>
      </c>
      <c r="H8" s="17" t="inlineStr">
        <is>
          <t>Soft knees, push hips back until hamstrings scream, bar drags the thighs. Start ~185-225 and add when all sets hit 10. Feel the stretch — that's the growth signal.</t>
        </is>
      </c>
      <c r="I8" s="16" t="inlineStr"/>
      <c r="J8" s="16" t="inlineStr"/>
      <c r="K8" s="16" t="inlineStr"/>
      <c r="L8" s="17" t="inlineStr"/>
    </row>
    <row r="9" ht="42" customHeight="1">
      <c r="A9" s="11" t="inlineStr">
        <is>
          <t>Leg Press (feet low &amp; narrow)</t>
        </is>
      </c>
      <c r="B9" s="12" t="inlineStr">
        <is>
          <t>3</t>
        </is>
      </c>
      <c r="C9" s="12" t="inlineStr">
        <is>
          <t>10-12</t>
        </is>
      </c>
      <c r="D9" s="12" t="inlineStr">
        <is>
          <t>—</t>
        </is>
      </c>
      <c r="E9" s="12" t="inlineStr">
        <is>
          <t>Your pick</t>
        </is>
      </c>
      <c r="F9" s="12" t="inlineStr">
        <is>
          <t>8</t>
        </is>
      </c>
      <c r="G9" s="12" t="inlineStr">
        <is>
          <t>2 min</t>
        </is>
      </c>
      <c r="H9" s="8" t="inlineStr">
        <is>
          <t>Quad-bias stance. Full depth without butt tucking, 2-sec lowering. Drive knees over toes. Don't chase plates — chase the quad burn.</t>
        </is>
      </c>
      <c r="I9" s="12" t="inlineStr"/>
      <c r="J9" s="12" t="inlineStr"/>
      <c r="K9" s="12" t="inlineStr"/>
      <c r="L9" s="8" t="inlineStr"/>
    </row>
    <row r="10" ht="42" customHeight="1">
      <c r="A10" s="15" t="inlineStr">
        <is>
          <t>Seated Leg Curl</t>
        </is>
      </c>
      <c r="B10" s="16" t="inlineStr">
        <is>
          <t>3</t>
        </is>
      </c>
      <c r="C10" s="16" t="inlineStr">
        <is>
          <t>12-15</t>
        </is>
      </c>
      <c r="D10" s="16" t="inlineStr">
        <is>
          <t>—</t>
        </is>
      </c>
      <c r="E10" s="16" t="inlineStr">
        <is>
          <t>Your pick</t>
        </is>
      </c>
      <c r="F10" s="16" t="inlineStr">
        <is>
          <t>8-9</t>
        </is>
      </c>
      <c r="G10" s="16" t="inlineStr">
        <is>
          <t>90 sec</t>
        </is>
      </c>
      <c r="H10" s="17" t="inlineStr">
        <is>
          <t>Lean torso forward slightly for a longer hamstring stretch. Squeeze 1 sec at full flexion, 3-sec lowering.</t>
        </is>
      </c>
      <c r="I10" s="16" t="inlineStr"/>
      <c r="J10" s="16" t="inlineStr"/>
      <c r="K10" s="16" t="inlineStr"/>
      <c r="L10" s="17" t="inlineStr"/>
    </row>
    <row r="11" ht="42" customHeight="1">
      <c r="A11" s="11" t="inlineStr">
        <is>
          <t>Standing Calf Raise</t>
        </is>
      </c>
      <c r="B11" s="12" t="inlineStr">
        <is>
          <t>3</t>
        </is>
      </c>
      <c r="C11" s="12" t="inlineStr">
        <is>
          <t>10-12</t>
        </is>
      </c>
      <c r="D11" s="12" t="inlineStr">
        <is>
          <t>—</t>
        </is>
      </c>
      <c r="E11" s="12" t="inlineStr">
        <is>
          <t>Your pick</t>
        </is>
      </c>
      <c r="F11" s="12" t="inlineStr">
        <is>
          <t>8-9</t>
        </is>
      </c>
      <c r="G11" s="12" t="inlineStr">
        <is>
          <t>90 sec</t>
        </is>
      </c>
      <c r="H11" s="8" t="inlineStr">
        <is>
          <t>Full stretch at the bottom for a 2-count, drive through the big toe, pause at the top. No bouncing.</t>
        </is>
      </c>
      <c r="I11" s="12" t="inlineStr"/>
      <c r="J11" s="12" t="inlineStr"/>
      <c r="K11" s="12" t="inlineStr"/>
      <c r="L11" s="8" t="inlineStr"/>
    </row>
    <row r="12" ht="42" customHeight="1">
      <c r="A12" s="15" t="inlineStr">
        <is>
          <t>Cable Crunch</t>
        </is>
      </c>
      <c r="B12" s="16" t="inlineStr">
        <is>
          <t>3</t>
        </is>
      </c>
      <c r="C12" s="16" t="inlineStr">
        <is>
          <t>12-15</t>
        </is>
      </c>
      <c r="D12" s="16" t="inlineStr">
        <is>
          <t>—</t>
        </is>
      </c>
      <c r="E12" s="16" t="inlineStr">
        <is>
          <t>Your pick</t>
        </is>
      </c>
      <c r="F12" s="16" t="inlineStr">
        <is>
          <t>8</t>
        </is>
      </c>
      <c r="G12" s="16" t="inlineStr">
        <is>
          <t>60-90 sec</t>
        </is>
      </c>
      <c r="H12" s="17" t="inlineStr">
        <is>
          <t>Flex the spine — ribs to hips, don't just bow at the waist. Strong abs = strong squat brace.</t>
        </is>
      </c>
      <c r="I12" s="16" t="inlineStr"/>
      <c r="J12" s="16" t="inlineStr"/>
      <c r="K12" s="16" t="inlineStr"/>
      <c r="L12" s="17" t="inlineStr"/>
    </row>
    <row r="14" ht="20" customHeight="1">
      <c r="A14" s="10" t="inlineStr">
        <is>
          <t>THURSDAY — UPPER A: BENCH STRENGTH + BACK  (target: ≤85 min)</t>
        </is>
      </c>
    </row>
    <row r="15">
      <c r="A15" s="4" t="inlineStr">
        <is>
          <t>Exercise</t>
        </is>
      </c>
      <c r="B15" s="4" t="inlineStr">
        <is>
          <t>Set</t>
        </is>
      </c>
      <c r="C15" s="4" t="inlineStr">
        <is>
          <t>Target Reps</t>
        </is>
      </c>
      <c r="D15" s="4" t="inlineStr">
        <is>
          <t>%1RM</t>
        </is>
      </c>
      <c r="E15" s="4" t="inlineStr">
        <is>
          <t>Target Weight</t>
        </is>
      </c>
      <c r="F15" s="4" t="inlineStr">
        <is>
          <t>Target RPE</t>
        </is>
      </c>
      <c r="G15" s="4" t="inlineStr">
        <is>
          <t>Rest</t>
        </is>
      </c>
      <c r="H15" s="4" t="inlineStr">
        <is>
          <t>Coaching Cues / Special Instructions</t>
        </is>
      </c>
      <c r="I15" s="4" t="inlineStr">
        <is>
          <t>Actual Weight</t>
        </is>
      </c>
      <c r="J15" s="4" t="inlineStr">
        <is>
          <t>Actual Reps</t>
        </is>
      </c>
      <c r="K15" s="4" t="inlineStr">
        <is>
          <t>Actual RPE</t>
        </is>
      </c>
      <c r="L15" s="4" t="inlineStr">
        <is>
          <t>Set Notes (how it felt, bar speed, pump, tweaks)</t>
        </is>
      </c>
    </row>
    <row r="16">
      <c r="A16" s="11" t="inlineStr">
        <is>
          <t>Competition Bench</t>
        </is>
      </c>
      <c r="B16" s="12" t="inlineStr">
        <is>
          <t>1</t>
        </is>
      </c>
      <c r="C16" s="12" t="inlineStr">
        <is>
          <t>3</t>
        </is>
      </c>
      <c r="D16" s="12" t="inlineStr">
        <is>
          <t>80%</t>
        </is>
      </c>
      <c r="E16" s="12">
        <f>MROUND('Start Here'!$C$8*0.8,5)</f>
        <v/>
      </c>
      <c r="F16" s="12" t="inlineStr">
        <is>
          <t>8</t>
        </is>
      </c>
      <c r="G16" s="12" t="inlineStr">
        <is>
          <t>3-4 min</t>
        </is>
      </c>
      <c r="H16" s="8" t="inlineStr">
        <is>
          <t>Comp pause on every rep this day. Set your arch, pull the bar apart, tuck elbows ~45°, press back over your face. Leg drive on.</t>
        </is>
      </c>
      <c r="I16" s="12" t="inlineStr"/>
      <c r="J16" s="12" t="inlineStr"/>
      <c r="K16" s="12" t="inlineStr"/>
      <c r="L16" s="8" t="inlineStr"/>
    </row>
    <row r="17">
      <c r="A17" s="11" t="inlineStr"/>
      <c r="B17" s="12" t="inlineStr">
        <is>
          <t>2</t>
        </is>
      </c>
      <c r="C17" s="12" t="inlineStr">
        <is>
          <t>3</t>
        </is>
      </c>
      <c r="D17" s="12" t="inlineStr">
        <is>
          <t>80%</t>
        </is>
      </c>
      <c r="E17" s="12">
        <f>MROUND('Start Here'!$C$8*0.8,5)</f>
        <v/>
      </c>
      <c r="F17" s="12" t="inlineStr">
        <is>
          <t>8</t>
        </is>
      </c>
      <c r="G17" s="12" t="inlineStr">
        <is>
          <t>3-4 min</t>
        </is>
      </c>
      <c r="H17" s="13" t="n"/>
      <c r="I17" s="12" t="inlineStr"/>
      <c r="J17" s="12" t="inlineStr"/>
      <c r="K17" s="12" t="inlineStr"/>
      <c r="L17" s="8" t="inlineStr"/>
    </row>
    <row r="18">
      <c r="A18" s="11" t="inlineStr"/>
      <c r="B18" s="12" t="inlineStr">
        <is>
          <t>3</t>
        </is>
      </c>
      <c r="C18" s="12" t="inlineStr">
        <is>
          <t>3</t>
        </is>
      </c>
      <c r="D18" s="12" t="inlineStr">
        <is>
          <t>80%</t>
        </is>
      </c>
      <c r="E18" s="12">
        <f>MROUND('Start Here'!$C$8*0.8,5)</f>
        <v/>
      </c>
      <c r="F18" s="12" t="inlineStr">
        <is>
          <t>8</t>
        </is>
      </c>
      <c r="G18" s="12" t="inlineStr">
        <is>
          <t>3-4 min</t>
        </is>
      </c>
      <c r="H18" s="13" t="n"/>
      <c r="I18" s="12" t="inlineStr"/>
      <c r="J18" s="12" t="inlineStr"/>
      <c r="K18" s="12" t="inlineStr"/>
      <c r="L18" s="8" t="inlineStr"/>
    </row>
    <row r="19">
      <c r="A19" s="11" t="inlineStr"/>
      <c r="B19" s="12" t="inlineStr">
        <is>
          <t>4</t>
        </is>
      </c>
      <c r="C19" s="12" t="inlineStr">
        <is>
          <t>3</t>
        </is>
      </c>
      <c r="D19" s="12" t="inlineStr">
        <is>
          <t>80%</t>
        </is>
      </c>
      <c r="E19" s="12">
        <f>MROUND('Start Here'!$C$8*0.8,5)</f>
        <v/>
      </c>
      <c r="F19" s="12" t="inlineStr">
        <is>
          <t>8</t>
        </is>
      </c>
      <c r="G19" s="12" t="inlineStr">
        <is>
          <t>3-4 min</t>
        </is>
      </c>
      <c r="H19" s="14" t="n"/>
      <c r="I19" s="12" t="inlineStr"/>
      <c r="J19" s="12" t="inlineStr"/>
      <c r="K19" s="12" t="inlineStr"/>
      <c r="L19" s="8" t="inlineStr"/>
    </row>
    <row r="20" ht="42" customHeight="1">
      <c r="A20" s="15" t="inlineStr">
        <is>
          <t>Weighted Pull-Up</t>
        </is>
      </c>
      <c r="B20" s="16" t="inlineStr">
        <is>
          <t>4</t>
        </is>
      </c>
      <c r="C20" s="16" t="inlineStr">
        <is>
          <t>6-8</t>
        </is>
      </c>
      <c r="D20" s="16" t="inlineStr">
        <is>
          <t>—</t>
        </is>
      </c>
      <c r="E20" s="16" t="inlineStr">
        <is>
          <t>Your pick</t>
        </is>
      </c>
      <c r="F20" s="16" t="inlineStr">
        <is>
          <t>8</t>
        </is>
      </c>
      <c r="G20" s="16" t="inlineStr">
        <is>
          <t>2-3 min</t>
        </is>
      </c>
      <c r="H20" s="17" t="inlineStr">
        <is>
          <t>Add weight when you own 4x8 at bodyweight+. Dead hang start, drive elbows to hips, chest to bar. Lats build your bench arch and your V-taper.</t>
        </is>
      </c>
      <c r="I20" s="16" t="inlineStr"/>
      <c r="J20" s="16" t="inlineStr"/>
      <c r="K20" s="16" t="inlineStr"/>
      <c r="L20" s="17" t="inlineStr"/>
    </row>
    <row r="21" ht="42" customHeight="1">
      <c r="A21" s="11" t="inlineStr">
        <is>
          <t>Seated DB Shoulder Press</t>
        </is>
      </c>
      <c r="B21" s="12" t="inlineStr">
        <is>
          <t>3</t>
        </is>
      </c>
      <c r="C21" s="12" t="inlineStr">
        <is>
          <t>8-10</t>
        </is>
      </c>
      <c r="D21" s="12" t="inlineStr">
        <is>
          <t>—</t>
        </is>
      </c>
      <c r="E21" s="12" t="inlineStr">
        <is>
          <t>Your pick</t>
        </is>
      </c>
      <c r="F21" s="12" t="inlineStr">
        <is>
          <t>8</t>
        </is>
      </c>
      <c r="G21" s="12" t="inlineStr">
        <is>
          <t>2 min</t>
        </is>
      </c>
      <c r="H21" s="8" t="inlineStr">
        <is>
          <t>Slight back support, press up-and-in, stop just short of lockout to keep tension on delts. Start ~55-65s.</t>
        </is>
      </c>
      <c r="I21" s="12" t="inlineStr"/>
      <c r="J21" s="12" t="inlineStr"/>
      <c r="K21" s="12" t="inlineStr"/>
      <c r="L21" s="8" t="inlineStr"/>
    </row>
    <row r="22" ht="42" customHeight="1">
      <c r="A22" s="15" t="inlineStr">
        <is>
          <t>Chest-Supported Row</t>
        </is>
      </c>
      <c r="B22" s="16" t="inlineStr">
        <is>
          <t>3</t>
        </is>
      </c>
      <c r="C22" s="16" t="inlineStr">
        <is>
          <t>10-12</t>
        </is>
      </c>
      <c r="D22" s="16" t="inlineStr">
        <is>
          <t>—</t>
        </is>
      </c>
      <c r="E22" s="16" t="inlineStr">
        <is>
          <t>Your pick</t>
        </is>
      </c>
      <c r="F22" s="16" t="inlineStr">
        <is>
          <t>8</t>
        </is>
      </c>
      <c r="G22" s="16" t="inlineStr">
        <is>
          <t>90 sec</t>
        </is>
      </c>
      <c r="H22" s="17" t="inlineStr">
        <is>
          <t>Chest glued to pad — no cheating with body English. Pull to lower ribs, squeeze the shoulder blades for 1 sec.</t>
        </is>
      </c>
      <c r="I22" s="16" t="inlineStr"/>
      <c r="J22" s="16" t="inlineStr"/>
      <c r="K22" s="16" t="inlineStr"/>
      <c r="L22" s="17" t="inlineStr"/>
    </row>
    <row r="23" ht="42" customHeight="1">
      <c r="A23" s="11" t="inlineStr">
        <is>
          <t>SUPERSET: EZ-Bar Curl + Overhead Cable Extension</t>
        </is>
      </c>
      <c r="B23" s="12" t="inlineStr">
        <is>
          <t>3</t>
        </is>
      </c>
      <c r="C23" s="12" t="inlineStr">
        <is>
          <t>10-12 each</t>
        </is>
      </c>
      <c r="D23" s="12" t="inlineStr">
        <is>
          <t>—</t>
        </is>
      </c>
      <c r="E23" s="12" t="inlineStr">
        <is>
          <t>Your pick</t>
        </is>
      </c>
      <c r="F23" s="12" t="inlineStr">
        <is>
          <t>8</t>
        </is>
      </c>
      <c r="G23" s="12" t="inlineStr">
        <is>
          <t>90 sec after pair</t>
        </is>
      </c>
      <c r="H23" s="8" t="inlineStr">
        <is>
          <t>Curls: elbows pinned, no swing. Overhead extensions: full stretch behind head — long-head triceps grow from the stretch. Alternate exercises, rest after both.</t>
        </is>
      </c>
      <c r="I23" s="12" t="inlineStr"/>
      <c r="J23" s="12" t="inlineStr"/>
      <c r="K23" s="12" t="inlineStr"/>
      <c r="L23" s="8" t="inlineStr"/>
    </row>
    <row r="24" ht="42" customHeight="1">
      <c r="A24" s="15" t="inlineStr">
        <is>
          <t>Face Pull</t>
        </is>
      </c>
      <c r="B24" s="16" t="inlineStr">
        <is>
          <t>3</t>
        </is>
      </c>
      <c r="C24" s="16" t="inlineStr">
        <is>
          <t>15-20</t>
        </is>
      </c>
      <c r="D24" s="16" t="inlineStr">
        <is>
          <t>—</t>
        </is>
      </c>
      <c r="E24" s="16" t="inlineStr">
        <is>
          <t>Your pick</t>
        </is>
      </c>
      <c r="F24" s="16" t="inlineStr">
        <is>
          <t>8</t>
        </is>
      </c>
      <c r="G24" s="16" t="inlineStr">
        <is>
          <t>60 sec</t>
        </is>
      </c>
      <c r="H24" s="17" t="inlineStr">
        <is>
          <t>Rope to forehead, thumbs back, external rotate at the end. Shoulder insurance — never skip these.</t>
        </is>
      </c>
      <c r="I24" s="16" t="inlineStr"/>
      <c r="J24" s="16" t="inlineStr"/>
      <c r="K24" s="16" t="inlineStr"/>
      <c r="L24" s="17" t="inlineStr"/>
    </row>
    <row r="26" ht="20" customHeight="1">
      <c r="A26" s="10" t="inlineStr">
        <is>
          <t>SATURDAY — LOWER B: DEADLIFT + ATHLETIC LOWER  (long session — take your time)</t>
        </is>
      </c>
    </row>
    <row r="27">
      <c r="A27" s="4" t="inlineStr">
        <is>
          <t>Exercise</t>
        </is>
      </c>
      <c r="B27" s="4" t="inlineStr">
        <is>
          <t>Set</t>
        </is>
      </c>
      <c r="C27" s="4" t="inlineStr">
        <is>
          <t>Target Reps</t>
        </is>
      </c>
      <c r="D27" s="4" t="inlineStr">
        <is>
          <t>%1RM</t>
        </is>
      </c>
      <c r="E27" s="4" t="inlineStr">
        <is>
          <t>Target Weight</t>
        </is>
      </c>
      <c r="F27" s="4" t="inlineStr">
        <is>
          <t>Target RPE</t>
        </is>
      </c>
      <c r="G27" s="4" t="inlineStr">
        <is>
          <t>Rest</t>
        </is>
      </c>
      <c r="H27" s="4" t="inlineStr">
        <is>
          <t>Coaching Cues / Special Instructions</t>
        </is>
      </c>
      <c r="I27" s="4" t="inlineStr">
        <is>
          <t>Actual Weight</t>
        </is>
      </c>
      <c r="J27" s="4" t="inlineStr">
        <is>
          <t>Actual Reps</t>
        </is>
      </c>
      <c r="K27" s="4" t="inlineStr">
        <is>
          <t>Actual RPE</t>
        </is>
      </c>
      <c r="L27" s="4" t="inlineStr">
        <is>
          <t>Set Notes (how it felt, bar speed, pump, tweaks)</t>
        </is>
      </c>
    </row>
    <row r="28">
      <c r="A28" s="11" t="inlineStr">
        <is>
          <t>Deadlift</t>
        </is>
      </c>
      <c r="B28" s="12" t="inlineStr">
        <is>
          <t>1</t>
        </is>
      </c>
      <c r="C28" s="12" t="inlineStr">
        <is>
          <t>3</t>
        </is>
      </c>
      <c r="D28" s="12" t="inlineStr">
        <is>
          <t>80%</t>
        </is>
      </c>
      <c r="E28" s="12">
        <f>MROUND('Start Here'!$C$9*0.8,5)</f>
        <v/>
      </c>
      <c r="F28" s="12" t="inlineStr">
        <is>
          <t>8</t>
        </is>
      </c>
      <c r="G28" s="12" t="inlineStr">
        <is>
          <t>3-4 min</t>
        </is>
      </c>
      <c r="H28" s="8" t="inlineStr">
        <is>
          <t>Wedge hard, pull the slack out until the bar clicks, push the floor away. Hips and shoulders rise together. Reset every rep — no touch-and-go here.</t>
        </is>
      </c>
      <c r="I28" s="12" t="inlineStr"/>
      <c r="J28" s="12" t="inlineStr"/>
      <c r="K28" s="12" t="inlineStr"/>
      <c r="L28" s="8" t="inlineStr"/>
    </row>
    <row r="29">
      <c r="A29" s="11" t="inlineStr"/>
      <c r="B29" s="12" t="inlineStr">
        <is>
          <t>2</t>
        </is>
      </c>
      <c r="C29" s="12" t="inlineStr">
        <is>
          <t>3</t>
        </is>
      </c>
      <c r="D29" s="12" t="inlineStr">
        <is>
          <t>80%</t>
        </is>
      </c>
      <c r="E29" s="12">
        <f>MROUND('Start Here'!$C$9*0.8,5)</f>
        <v/>
      </c>
      <c r="F29" s="12" t="inlineStr">
        <is>
          <t>8</t>
        </is>
      </c>
      <c r="G29" s="12" t="inlineStr">
        <is>
          <t>3-4 min</t>
        </is>
      </c>
      <c r="H29" s="13" t="n"/>
      <c r="I29" s="12" t="inlineStr"/>
      <c r="J29" s="12" t="inlineStr"/>
      <c r="K29" s="12" t="inlineStr"/>
      <c r="L29" s="8" t="inlineStr"/>
    </row>
    <row r="30">
      <c r="A30" s="11" t="inlineStr"/>
      <c r="B30" s="12" t="inlineStr">
        <is>
          <t>3</t>
        </is>
      </c>
      <c r="C30" s="12" t="inlineStr">
        <is>
          <t>3</t>
        </is>
      </c>
      <c r="D30" s="12" t="inlineStr">
        <is>
          <t>80%</t>
        </is>
      </c>
      <c r="E30" s="12">
        <f>MROUND('Start Here'!$C$9*0.8,5)</f>
        <v/>
      </c>
      <c r="F30" s="12" t="inlineStr">
        <is>
          <t>8</t>
        </is>
      </c>
      <c r="G30" s="12" t="inlineStr">
        <is>
          <t>3-4 min</t>
        </is>
      </c>
      <c r="H30" s="14" t="n"/>
      <c r="I30" s="12" t="inlineStr"/>
      <c r="J30" s="12" t="inlineStr"/>
      <c r="K30" s="12" t="inlineStr"/>
      <c r="L30" s="8" t="inlineStr"/>
    </row>
    <row r="31">
      <c r="A31" s="11" t="inlineStr">
        <is>
          <t>Paused Squat (2-ct)</t>
        </is>
      </c>
      <c r="B31" s="12" t="inlineStr">
        <is>
          <t>1</t>
        </is>
      </c>
      <c r="C31" s="12" t="inlineStr">
        <is>
          <t>3</t>
        </is>
      </c>
      <c r="D31" s="12" t="inlineStr">
        <is>
          <t>70%</t>
        </is>
      </c>
      <c r="E31" s="12">
        <f>MROUND('Start Here'!$C$7*0.7,5)</f>
        <v/>
      </c>
      <c r="F31" s="12" t="inlineStr">
        <is>
          <t>8</t>
        </is>
      </c>
      <c r="G31" s="12" t="inlineStr">
        <is>
          <t>3-4 min</t>
        </is>
      </c>
      <c r="H31" s="8" t="inlineStr">
        <is>
          <t>2-second dead-stop in the hole, stay braced and upright, no bounce. Builds bottom-position strength and quad size. Own the pause — don't rush it.</t>
        </is>
      </c>
      <c r="I31" s="12" t="inlineStr"/>
      <c r="J31" s="12" t="inlineStr"/>
      <c r="K31" s="12" t="inlineStr"/>
      <c r="L31" s="8" t="inlineStr"/>
    </row>
    <row r="32">
      <c r="A32" s="11" t="inlineStr"/>
      <c r="B32" s="12" t="inlineStr">
        <is>
          <t>2</t>
        </is>
      </c>
      <c r="C32" s="12" t="inlineStr">
        <is>
          <t>3</t>
        </is>
      </c>
      <c r="D32" s="12" t="inlineStr">
        <is>
          <t>70%</t>
        </is>
      </c>
      <c r="E32" s="12">
        <f>MROUND('Start Here'!$C$7*0.7,5)</f>
        <v/>
      </c>
      <c r="F32" s="12" t="inlineStr">
        <is>
          <t>8</t>
        </is>
      </c>
      <c r="G32" s="12" t="inlineStr">
        <is>
          <t>3-4 min</t>
        </is>
      </c>
      <c r="H32" s="13" t="n"/>
      <c r="I32" s="12" t="inlineStr"/>
      <c r="J32" s="12" t="inlineStr"/>
      <c r="K32" s="12" t="inlineStr"/>
      <c r="L32" s="8" t="inlineStr"/>
    </row>
    <row r="33">
      <c r="A33" s="11" t="inlineStr"/>
      <c r="B33" s="12" t="inlineStr">
        <is>
          <t>3</t>
        </is>
      </c>
      <c r="C33" s="12" t="inlineStr">
        <is>
          <t>3</t>
        </is>
      </c>
      <c r="D33" s="12" t="inlineStr">
        <is>
          <t>70%</t>
        </is>
      </c>
      <c r="E33" s="12">
        <f>MROUND('Start Here'!$C$7*0.7,5)</f>
        <v/>
      </c>
      <c r="F33" s="12" t="inlineStr">
        <is>
          <t>8</t>
        </is>
      </c>
      <c r="G33" s="12" t="inlineStr">
        <is>
          <t>3-4 min</t>
        </is>
      </c>
      <c r="H33" s="14" t="n"/>
      <c r="I33" s="12" t="inlineStr"/>
      <c r="J33" s="12" t="inlineStr"/>
      <c r="K33" s="12" t="inlineStr"/>
      <c r="L33" s="8" t="inlineStr"/>
    </row>
    <row r="34" ht="42" customHeight="1">
      <c r="A34" s="15" t="inlineStr">
        <is>
          <t>Bulgarian Split Squat</t>
        </is>
      </c>
      <c r="B34" s="16" t="inlineStr">
        <is>
          <t>3</t>
        </is>
      </c>
      <c r="C34" s="16" t="inlineStr">
        <is>
          <t>8-10 /leg</t>
        </is>
      </c>
      <c r="D34" s="16" t="inlineStr">
        <is>
          <t>—</t>
        </is>
      </c>
      <c r="E34" s="16" t="inlineStr">
        <is>
          <t>Your pick</t>
        </is>
      </c>
      <c r="F34" s="16" t="inlineStr">
        <is>
          <t>8</t>
        </is>
      </c>
      <c r="G34" s="16" t="inlineStr">
        <is>
          <t>2 min</t>
        </is>
      </c>
      <c r="H34" s="17" t="inlineStr">
        <is>
          <t>Rear foot elevated, slight forward lean for glutes, upright for quads — pick your target. This is your athleticism builder: balance, single-leg strength, hip stability. Start with 40-50 lb DBs.</t>
        </is>
      </c>
      <c r="I34" s="16" t="inlineStr"/>
      <c r="J34" s="16" t="inlineStr"/>
      <c r="K34" s="16" t="inlineStr"/>
      <c r="L34" s="17" t="inlineStr"/>
    </row>
    <row r="35" ht="42" customHeight="1">
      <c r="A35" s="11" t="inlineStr">
        <is>
          <t>Back Extension (glute bias)</t>
        </is>
      </c>
      <c r="B35" s="12" t="inlineStr">
        <is>
          <t>3</t>
        </is>
      </c>
      <c r="C35" s="12" t="inlineStr">
        <is>
          <t>12-15</t>
        </is>
      </c>
      <c r="D35" s="12" t="inlineStr">
        <is>
          <t>—</t>
        </is>
      </c>
      <c r="E35" s="12" t="inlineStr">
        <is>
          <t>Your pick</t>
        </is>
      </c>
      <c r="F35" s="12" t="inlineStr">
        <is>
          <t>8-9</t>
        </is>
      </c>
      <c r="G35" s="12" t="inlineStr">
        <is>
          <t>90 sec</t>
        </is>
      </c>
      <c r="H35" s="8" t="inlineStr">
        <is>
          <t>Round upper back slightly, tuck chin, squeeze glutes to lift — don't hyperextend the spine. Hold a plate when 15 gets easy.</t>
        </is>
      </c>
      <c r="I35" s="12" t="inlineStr"/>
      <c r="J35" s="12" t="inlineStr"/>
      <c r="K35" s="12" t="inlineStr"/>
      <c r="L35" s="8" t="inlineStr"/>
    </row>
    <row r="36" ht="42" customHeight="1">
      <c r="A36" s="15" t="inlineStr">
        <is>
          <t>Walking DB Lunge</t>
        </is>
      </c>
      <c r="B36" s="16" t="inlineStr">
        <is>
          <t>2</t>
        </is>
      </c>
      <c r="C36" s="16" t="inlineStr">
        <is>
          <t>20 steps</t>
        </is>
      </c>
      <c r="D36" s="16" t="inlineStr">
        <is>
          <t>—</t>
        </is>
      </c>
      <c r="E36" s="16" t="inlineStr">
        <is>
          <t>Your pick</t>
        </is>
      </c>
      <c r="F36" s="16" t="inlineStr">
        <is>
          <t>8</t>
        </is>
      </c>
      <c r="G36" s="16" t="inlineStr">
        <is>
          <t>2 min</t>
        </is>
      </c>
      <c r="H36" s="17" t="inlineStr">
        <is>
          <t>Long strides, soft knee touch, continuous walking. Brutal and athletic. Light DBs are plenty after everything else.</t>
        </is>
      </c>
      <c r="I36" s="16" t="inlineStr"/>
      <c r="J36" s="16" t="inlineStr"/>
      <c r="K36" s="16" t="inlineStr"/>
      <c r="L36" s="17" t="inlineStr"/>
    </row>
    <row r="37" ht="42" customHeight="1">
      <c r="A37" s="11" t="inlineStr">
        <is>
          <t>Seated Calf Raise</t>
        </is>
      </c>
      <c r="B37" s="12" t="inlineStr">
        <is>
          <t>4</t>
        </is>
      </c>
      <c r="C37" s="12" t="inlineStr">
        <is>
          <t>12-15</t>
        </is>
      </c>
      <c r="D37" s="12" t="inlineStr">
        <is>
          <t>—</t>
        </is>
      </c>
      <c r="E37" s="12" t="inlineStr">
        <is>
          <t>Your pick</t>
        </is>
      </c>
      <c r="F37" s="12" t="inlineStr">
        <is>
          <t>8-9</t>
        </is>
      </c>
      <c r="G37" s="12" t="inlineStr">
        <is>
          <t>60-90 sec</t>
        </is>
      </c>
      <c r="H37" s="8" t="inlineStr">
        <is>
          <t>Soleus focus. Slow 3-sec negative, deep stretch, pause at top.</t>
        </is>
      </c>
      <c r="I37" s="12" t="inlineStr"/>
      <c r="J37" s="12" t="inlineStr"/>
      <c r="K37" s="12" t="inlineStr"/>
      <c r="L37" s="8" t="inlineStr"/>
    </row>
    <row r="38" ht="42" customHeight="1">
      <c r="A38" s="15" t="inlineStr">
        <is>
          <t>Hanging Leg Raise</t>
        </is>
      </c>
      <c r="B38" s="16" t="inlineStr">
        <is>
          <t>3</t>
        </is>
      </c>
      <c r="C38" s="16" t="inlineStr">
        <is>
          <t>10-15</t>
        </is>
      </c>
      <c r="D38" s="16" t="inlineStr">
        <is>
          <t>—</t>
        </is>
      </c>
      <c r="E38" s="16" t="inlineStr">
        <is>
          <t>Your pick</t>
        </is>
      </c>
      <c r="F38" s="16" t="inlineStr">
        <is>
          <t>8</t>
        </is>
      </c>
      <c r="G38" s="16" t="inlineStr">
        <is>
          <t>90 sec</t>
        </is>
      </c>
      <c r="H38" s="17" t="inlineStr">
        <is>
          <t>Posterior pelvic tilt at the top — curl the pelvis up, don't just swing the legs. Bend knees if needed.</t>
        </is>
      </c>
      <c r="I38" s="16" t="inlineStr"/>
      <c r="J38" s="16" t="inlineStr"/>
      <c r="K38" s="16" t="inlineStr"/>
      <c r="L38" s="17" t="inlineStr"/>
    </row>
    <row r="40" ht="20" customHeight="1">
      <c r="A40" s="10" t="inlineStr">
        <is>
          <t>SUNDAY — UPPER B: VOLUME BENCH + PUMP DAY  (long session — chase the pump)</t>
        </is>
      </c>
    </row>
    <row r="41">
      <c r="A41" s="4" t="inlineStr">
        <is>
          <t>Exercise</t>
        </is>
      </c>
      <c r="B41" s="4" t="inlineStr">
        <is>
          <t>Set</t>
        </is>
      </c>
      <c r="C41" s="4" t="inlineStr">
        <is>
          <t>Target Reps</t>
        </is>
      </c>
      <c r="D41" s="4" t="inlineStr">
        <is>
          <t>%1RM</t>
        </is>
      </c>
      <c r="E41" s="4" t="inlineStr">
        <is>
          <t>Target Weight</t>
        </is>
      </c>
      <c r="F41" s="4" t="inlineStr">
        <is>
          <t>Target RPE</t>
        </is>
      </c>
      <c r="G41" s="4" t="inlineStr">
        <is>
          <t>Rest</t>
        </is>
      </c>
      <c r="H41" s="4" t="inlineStr">
        <is>
          <t>Coaching Cues / Special Instructions</t>
        </is>
      </c>
      <c r="I41" s="4" t="inlineStr">
        <is>
          <t>Actual Weight</t>
        </is>
      </c>
      <c r="J41" s="4" t="inlineStr">
        <is>
          <t>Actual Reps</t>
        </is>
      </c>
      <c r="K41" s="4" t="inlineStr">
        <is>
          <t>Actual RPE</t>
        </is>
      </c>
      <c r="L41" s="4" t="inlineStr">
        <is>
          <t>Set Notes (how it felt, bar speed, pump, tweaks)</t>
        </is>
      </c>
    </row>
    <row r="42">
      <c r="A42" s="11" t="inlineStr">
        <is>
          <t>Touch-and-Go Bench</t>
        </is>
      </c>
      <c r="B42" s="12" t="inlineStr">
        <is>
          <t>1</t>
        </is>
      </c>
      <c r="C42" s="12" t="inlineStr">
        <is>
          <t>8</t>
        </is>
      </c>
      <c r="D42" s="12" t="inlineStr">
        <is>
          <t>70%</t>
        </is>
      </c>
      <c r="E42" s="12">
        <f>MROUND('Start Here'!$C$8*0.7,5)</f>
        <v/>
      </c>
      <c r="F42" s="12" t="inlineStr">
        <is>
          <t>8</t>
        </is>
      </c>
      <c r="G42" s="12" t="inlineStr">
        <is>
          <t>3-4 min</t>
        </is>
      </c>
      <c r="H42" s="8" t="inlineStr">
        <is>
          <t>Smooth touch, no bounce off the chest. Slight tuck, squeeze pecs hard at lockout each rep. This is a muscle set, not a strength test — chase the pec pump.</t>
        </is>
      </c>
      <c r="I42" s="12" t="inlineStr"/>
      <c r="J42" s="12" t="inlineStr"/>
      <c r="K42" s="12" t="inlineStr"/>
      <c r="L42" s="8" t="inlineStr"/>
    </row>
    <row r="43">
      <c r="A43" s="11" t="inlineStr"/>
      <c r="B43" s="12" t="inlineStr">
        <is>
          <t>2</t>
        </is>
      </c>
      <c r="C43" s="12" t="inlineStr">
        <is>
          <t>8</t>
        </is>
      </c>
      <c r="D43" s="12" t="inlineStr">
        <is>
          <t>70%</t>
        </is>
      </c>
      <c r="E43" s="12">
        <f>MROUND('Start Here'!$C$8*0.7,5)</f>
        <v/>
      </c>
      <c r="F43" s="12" t="inlineStr">
        <is>
          <t>8</t>
        </is>
      </c>
      <c r="G43" s="12" t="inlineStr">
        <is>
          <t>3-4 min</t>
        </is>
      </c>
      <c r="H43" s="13" t="n"/>
      <c r="I43" s="12" t="inlineStr"/>
      <c r="J43" s="12" t="inlineStr"/>
      <c r="K43" s="12" t="inlineStr"/>
      <c r="L43" s="8" t="inlineStr"/>
    </row>
    <row r="44">
      <c r="A44" s="11" t="inlineStr"/>
      <c r="B44" s="12" t="inlineStr">
        <is>
          <t>3</t>
        </is>
      </c>
      <c r="C44" s="12" t="inlineStr">
        <is>
          <t>8</t>
        </is>
      </c>
      <c r="D44" s="12" t="inlineStr">
        <is>
          <t>70%</t>
        </is>
      </c>
      <c r="E44" s="12">
        <f>MROUND('Start Here'!$C$8*0.7,5)</f>
        <v/>
      </c>
      <c r="F44" s="12" t="inlineStr">
        <is>
          <t>8</t>
        </is>
      </c>
      <c r="G44" s="12" t="inlineStr">
        <is>
          <t>3-4 min</t>
        </is>
      </c>
      <c r="H44" s="13" t="n"/>
      <c r="I44" s="12" t="inlineStr"/>
      <c r="J44" s="12" t="inlineStr"/>
      <c r="K44" s="12" t="inlineStr"/>
      <c r="L44" s="8" t="inlineStr"/>
    </row>
    <row r="45">
      <c r="A45" s="11" t="inlineStr"/>
      <c r="B45" s="12" t="inlineStr">
        <is>
          <t>4</t>
        </is>
      </c>
      <c r="C45" s="12" t="inlineStr">
        <is>
          <t>8</t>
        </is>
      </c>
      <c r="D45" s="12" t="inlineStr">
        <is>
          <t>70%</t>
        </is>
      </c>
      <c r="E45" s="12">
        <f>MROUND('Start Here'!$C$8*0.7,5)</f>
        <v/>
      </c>
      <c r="F45" s="12" t="inlineStr">
        <is>
          <t>8</t>
        </is>
      </c>
      <c r="G45" s="12" t="inlineStr">
        <is>
          <t>3-4 min</t>
        </is>
      </c>
      <c r="H45" s="14" t="n"/>
      <c r="I45" s="12" t="inlineStr"/>
      <c r="J45" s="12" t="inlineStr"/>
      <c r="K45" s="12" t="inlineStr"/>
      <c r="L45" s="8" t="inlineStr"/>
    </row>
    <row r="46" ht="42" customHeight="1">
      <c r="A46" s="15" t="inlineStr">
        <is>
          <t>Incline DB Press (30°)</t>
        </is>
      </c>
      <c r="B46" s="16" t="inlineStr">
        <is>
          <t>3</t>
        </is>
      </c>
      <c r="C46" s="16" t="inlineStr">
        <is>
          <t>10-12</t>
        </is>
      </c>
      <c r="D46" s="16" t="inlineStr">
        <is>
          <t>—</t>
        </is>
      </c>
      <c r="E46" s="16" t="inlineStr">
        <is>
          <t>Your pick</t>
        </is>
      </c>
      <c r="F46" s="16" t="inlineStr">
        <is>
          <t>8</t>
        </is>
      </c>
      <c r="G46" s="16" t="inlineStr">
        <is>
          <t>2 min</t>
        </is>
      </c>
      <c r="H46" s="17" t="inlineStr">
        <is>
          <t>Deep stretch at the bottom, press up-and-in, squeeze upper pecs at top. Don't touch the DBs together hard — keep tension. Start ~75-85s.</t>
        </is>
      </c>
      <c r="I46" s="16" t="inlineStr"/>
      <c r="J46" s="16" t="inlineStr"/>
      <c r="K46" s="16" t="inlineStr"/>
      <c r="L46" s="17" t="inlineStr"/>
    </row>
    <row r="47" ht="42" customHeight="1">
      <c r="A47" s="11" t="inlineStr">
        <is>
          <t>Lat Pulldown (neutral wide)</t>
        </is>
      </c>
      <c r="B47" s="12" t="inlineStr">
        <is>
          <t>4</t>
        </is>
      </c>
      <c r="C47" s="12" t="inlineStr">
        <is>
          <t>10-12</t>
        </is>
      </c>
      <c r="D47" s="12" t="inlineStr">
        <is>
          <t>—</t>
        </is>
      </c>
      <c r="E47" s="12" t="inlineStr">
        <is>
          <t>Your pick</t>
        </is>
      </c>
      <c r="F47" s="12" t="inlineStr">
        <is>
          <t>8</t>
        </is>
      </c>
      <c r="G47" s="12" t="inlineStr">
        <is>
          <t>90 sec</t>
        </is>
      </c>
      <c r="H47" s="8" t="inlineStr">
        <is>
          <t>Drive elbows down and back, pause 1 sec at the chest, 3-sec controlled return. Think 'elbows in back pockets' — feel the lats, not the arms.</t>
        </is>
      </c>
      <c r="I47" s="12" t="inlineStr"/>
      <c r="J47" s="12" t="inlineStr"/>
      <c r="K47" s="12" t="inlineStr"/>
      <c r="L47" s="8" t="inlineStr"/>
    </row>
    <row r="48" ht="42" customHeight="1">
      <c r="A48" s="15" t="inlineStr">
        <is>
          <t>Single-Arm Cable Row</t>
        </is>
      </c>
      <c r="B48" s="16" t="inlineStr">
        <is>
          <t>3</t>
        </is>
      </c>
      <c r="C48" s="16" t="inlineStr">
        <is>
          <t>10-12 /arm</t>
        </is>
      </c>
      <c r="D48" s="16" t="inlineStr">
        <is>
          <t>—</t>
        </is>
      </c>
      <c r="E48" s="16" t="inlineStr">
        <is>
          <t>Your pick</t>
        </is>
      </c>
      <c r="F48" s="16" t="inlineStr">
        <is>
          <t>8</t>
        </is>
      </c>
      <c r="G48" s="16" t="inlineStr">
        <is>
          <t>90 sec</t>
        </is>
      </c>
      <c r="H48" s="17" t="inlineStr">
        <is>
          <t>Allow a full stretch and slight rotation forward, then row and squeeze. One side at a time = maximum mind-muscle connection.</t>
        </is>
      </c>
      <c r="I48" s="16" t="inlineStr"/>
      <c r="J48" s="16" t="inlineStr"/>
      <c r="K48" s="16" t="inlineStr"/>
      <c r="L48" s="17" t="inlineStr"/>
    </row>
    <row r="49" ht="42" customHeight="1">
      <c r="A49" s="11" t="inlineStr">
        <is>
          <t>DB Lateral Raise</t>
        </is>
      </c>
      <c r="B49" s="12" t="inlineStr">
        <is>
          <t>4</t>
        </is>
      </c>
      <c r="C49" s="12" t="inlineStr">
        <is>
          <t>12-15</t>
        </is>
      </c>
      <c r="D49" s="12" t="inlineStr">
        <is>
          <t>—</t>
        </is>
      </c>
      <c r="E49" s="12" t="inlineStr">
        <is>
          <t>Your pick</t>
        </is>
      </c>
      <c r="F49" s="12" t="inlineStr">
        <is>
          <t>9</t>
        </is>
      </c>
      <c r="G49" s="12" t="inlineStr">
        <is>
          <t>60-75 sec</t>
        </is>
      </c>
      <c r="H49" s="8" t="inlineStr">
        <is>
          <t>Lead with the elbows, tilt pinkies slightly up, stop at shoulder height. Weeks 3 &amp; 7: drop-set the last set (drop ~40%, rep to near-failure). Side delts make you look athletic in a t-shirt.</t>
        </is>
      </c>
      <c r="I49" s="12" t="inlineStr"/>
      <c r="J49" s="12" t="inlineStr"/>
      <c r="K49" s="12" t="inlineStr"/>
      <c r="L49" s="8" t="inlineStr"/>
    </row>
    <row r="50" ht="42" customHeight="1">
      <c r="A50" s="15" t="inlineStr">
        <is>
          <t>Cable Fly (low-to-high or pec deck)</t>
        </is>
      </c>
      <c r="B50" s="16" t="inlineStr">
        <is>
          <t>3</t>
        </is>
      </c>
      <c r="C50" s="16" t="inlineStr">
        <is>
          <t>12-15</t>
        </is>
      </c>
      <c r="D50" s="16" t="inlineStr">
        <is>
          <t>—</t>
        </is>
      </c>
      <c r="E50" s="16" t="inlineStr">
        <is>
          <t>Your pick</t>
        </is>
      </c>
      <c r="F50" s="16" t="inlineStr">
        <is>
          <t>8-9</t>
        </is>
      </c>
      <c r="G50" s="16" t="inlineStr">
        <is>
          <t>60-90 sec</t>
        </is>
      </c>
      <c r="H50" s="17" t="inlineStr">
        <is>
          <t>Big stretch, hug a barrel, squeeze pecs together for a 1-count. Pure pump work — moderate weight, perfect reps.</t>
        </is>
      </c>
      <c r="I50" s="16" t="inlineStr"/>
      <c r="J50" s="16" t="inlineStr"/>
      <c r="K50" s="16" t="inlineStr"/>
      <c r="L50" s="17" t="inlineStr"/>
    </row>
    <row r="51" ht="42" customHeight="1">
      <c r="A51" s="11" t="inlineStr">
        <is>
          <t>SUPERSET: Incline DB Curl + Lying DB Skullcrusher</t>
        </is>
      </c>
      <c r="B51" s="12" t="inlineStr">
        <is>
          <t>3</t>
        </is>
      </c>
      <c r="C51" s="12" t="inlineStr">
        <is>
          <t>10-12 each</t>
        </is>
      </c>
      <c r="D51" s="12" t="inlineStr">
        <is>
          <t>—</t>
        </is>
      </c>
      <c r="E51" s="12" t="inlineStr">
        <is>
          <t>Your pick</t>
        </is>
      </c>
      <c r="F51" s="12" t="inlineStr">
        <is>
          <t>8-9</t>
        </is>
      </c>
      <c r="G51" s="12" t="inlineStr">
        <is>
          <t>90 sec after pair</t>
        </is>
      </c>
      <c r="H51" s="8" t="inlineStr">
        <is>
          <t>Incline curls: full stretch at the bottom, biceps long-head heaven. Skullcrushers: lower behind the head slightly for more stretch.</t>
        </is>
      </c>
      <c r="I51" s="12" t="inlineStr"/>
      <c r="J51" s="12" t="inlineStr"/>
      <c r="K51" s="12" t="inlineStr"/>
      <c r="L51" s="8" t="inlineStr"/>
    </row>
    <row r="52" ht="42" customHeight="1">
      <c r="A52" s="15" t="inlineStr">
        <is>
          <t>SUPERSET: Hammer Curl + Rope Pressdown</t>
        </is>
      </c>
      <c r="B52" s="16" t="inlineStr">
        <is>
          <t>2</t>
        </is>
      </c>
      <c r="C52" s="16" t="inlineStr">
        <is>
          <t>12-15 each</t>
        </is>
      </c>
      <c r="D52" s="16" t="inlineStr">
        <is>
          <t>—</t>
        </is>
      </c>
      <c r="E52" s="16" t="inlineStr">
        <is>
          <t>Your pick</t>
        </is>
      </c>
      <c r="F52" s="16" t="inlineStr">
        <is>
          <t>9</t>
        </is>
      </c>
      <c r="G52" s="16" t="inlineStr">
        <is>
          <t>60 sec after pair</t>
        </is>
      </c>
      <c r="H52" s="17" t="inlineStr">
        <is>
          <t>Finisher — chase the arm pump. Strict form, short rests, walk out with sleeves tight.</t>
        </is>
      </c>
      <c r="I52" s="16" t="inlineStr"/>
      <c r="J52" s="16" t="inlineStr"/>
      <c r="K52" s="16" t="inlineStr"/>
      <c r="L52" s="17" t="inlineStr"/>
    </row>
    <row r="53" ht="42" customHeight="1">
      <c r="A53" s="11" t="inlineStr">
        <is>
          <t>Reverse Pec Deck (rear delts)</t>
        </is>
      </c>
      <c r="B53" s="12" t="inlineStr">
        <is>
          <t>3</t>
        </is>
      </c>
      <c r="C53" s="12" t="inlineStr">
        <is>
          <t>15-20</t>
        </is>
      </c>
      <c r="D53" s="12" t="inlineStr">
        <is>
          <t>—</t>
        </is>
      </c>
      <c r="E53" s="12" t="inlineStr">
        <is>
          <t>Your pick</t>
        </is>
      </c>
      <c r="F53" s="12" t="inlineStr">
        <is>
          <t>8-9</t>
        </is>
      </c>
      <c r="G53" s="12" t="inlineStr">
        <is>
          <t>60 sec</t>
        </is>
      </c>
      <c r="H53" s="8" t="inlineStr">
        <is>
          <t>Lead with elbows out, don't squeeze shoulder blades — keep it in the rear delts. Posture, shoulder health, 3-D delts.</t>
        </is>
      </c>
      <c r="I53" s="12" t="inlineStr"/>
      <c r="J53" s="12" t="inlineStr"/>
      <c r="K53" s="12" t="inlineStr"/>
      <c r="L53" s="8" t="inlineStr"/>
    </row>
  </sheetData>
  <mergeCells count="10">
    <mergeCell ref="A26:L26"/>
    <mergeCell ref="A2:L2"/>
    <mergeCell ref="H4:H7"/>
    <mergeCell ref="A1:L1"/>
    <mergeCell ref="H16:H19"/>
    <mergeCell ref="A14:L14"/>
    <mergeCell ref="H42:H45"/>
    <mergeCell ref="H28:H30"/>
    <mergeCell ref="A40:L40"/>
    <mergeCell ref="H31:H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0"/>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9" t="inlineStr">
        <is>
          <t>FORGED 4-DAY POWERBUILDER  —  WEEK 7   |   BLOCK 2: STRENGTH EXPRESSION</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1" t="inlineStr">
        <is>
          <t>Competition Squat</t>
        </is>
      </c>
      <c r="B4" s="12" t="inlineStr">
        <is>
          <t>1</t>
        </is>
      </c>
      <c r="C4" s="12" t="inlineStr">
        <is>
          <t>3</t>
        </is>
      </c>
      <c r="D4" s="12" t="inlineStr">
        <is>
          <t>82.5%</t>
        </is>
      </c>
      <c r="E4" s="12">
        <f>MROUND('Start Here'!$C$7*0.825,5)</f>
        <v/>
      </c>
      <c r="F4" s="12" t="inlineStr">
        <is>
          <t>8.5</t>
        </is>
      </c>
      <c r="G4" s="12" t="inlineStr">
        <is>
          <t>3-4 min</t>
        </is>
      </c>
      <c r="H4" s="8" t="inlineStr">
        <is>
          <t>Full comp setup every set: same walkout, same bracing. Big 360° breath, spread the floor, drive up through mid-foot. Treat every rep like a platform rep.  Last set: optional AMRAP, stop at RPE 9. Log reps for new e1RM.</t>
        </is>
      </c>
      <c r="I4" s="12" t="inlineStr"/>
      <c r="J4" s="12" t="inlineStr"/>
      <c r="K4" s="12" t="inlineStr"/>
      <c r="L4" s="8" t="inlineStr"/>
    </row>
    <row r="5">
      <c r="A5" s="11" t="inlineStr"/>
      <c r="B5" s="12" t="inlineStr">
        <is>
          <t>2</t>
        </is>
      </c>
      <c r="C5" s="12" t="inlineStr">
        <is>
          <t>3</t>
        </is>
      </c>
      <c r="D5" s="12" t="inlineStr">
        <is>
          <t>82.5%</t>
        </is>
      </c>
      <c r="E5" s="12">
        <f>MROUND('Start Here'!$C$7*0.825,5)</f>
        <v/>
      </c>
      <c r="F5" s="12" t="inlineStr">
        <is>
          <t>8.5</t>
        </is>
      </c>
      <c r="G5" s="12" t="inlineStr">
        <is>
          <t>3-4 min</t>
        </is>
      </c>
      <c r="H5" s="13" t="n"/>
      <c r="I5" s="12" t="inlineStr"/>
      <c r="J5" s="12" t="inlineStr"/>
      <c r="K5" s="12" t="inlineStr"/>
      <c r="L5" s="8" t="inlineStr"/>
    </row>
    <row r="6">
      <c r="A6" s="11" t="inlineStr"/>
      <c r="B6" s="12" t="inlineStr">
        <is>
          <t>3</t>
        </is>
      </c>
      <c r="C6" s="12" t="inlineStr">
        <is>
          <t>3</t>
        </is>
      </c>
      <c r="D6" s="12" t="inlineStr">
        <is>
          <t>82.5%</t>
        </is>
      </c>
      <c r="E6" s="12">
        <f>MROUND('Start Here'!$C$7*0.825,5)</f>
        <v/>
      </c>
      <c r="F6" s="12" t="inlineStr">
        <is>
          <t>8.5</t>
        </is>
      </c>
      <c r="G6" s="12" t="inlineStr">
        <is>
          <t>3-4 min</t>
        </is>
      </c>
      <c r="H6" s="14" t="n"/>
      <c r="I6" s="12" t="inlineStr"/>
      <c r="J6" s="12" t="inlineStr"/>
      <c r="K6" s="12" t="inlineStr"/>
      <c r="L6" s="8" t="inlineStr"/>
    </row>
    <row r="7" ht="42" customHeight="1">
      <c r="A7" s="15" t="inlineStr">
        <is>
          <t>Romanian Deadlift</t>
        </is>
      </c>
      <c r="B7" s="16" t="inlineStr">
        <is>
          <t>3</t>
        </is>
      </c>
      <c r="C7" s="16" t="inlineStr">
        <is>
          <t>8-10</t>
        </is>
      </c>
      <c r="D7" s="16" t="inlineStr">
        <is>
          <t>—</t>
        </is>
      </c>
      <c r="E7" s="16" t="inlineStr">
        <is>
          <t>Your pick</t>
        </is>
      </c>
      <c r="F7" s="16" t="inlineStr">
        <is>
          <t>7-8</t>
        </is>
      </c>
      <c r="G7" s="16" t="inlineStr">
        <is>
          <t>2-3 min</t>
        </is>
      </c>
      <c r="H7" s="17" t="inlineStr">
        <is>
          <t>Soft knees, push hips back until hamstrings scream, bar drags the thighs. Start ~185-225 and add when all sets hit 10. Feel the stretch — that's the growth signal.</t>
        </is>
      </c>
      <c r="I7" s="16" t="inlineStr"/>
      <c r="J7" s="16" t="inlineStr"/>
      <c r="K7" s="16" t="inlineStr"/>
      <c r="L7" s="17" t="inlineStr"/>
    </row>
    <row r="8" ht="42" customHeight="1">
      <c r="A8" s="11" t="inlineStr">
        <is>
          <t>Leg Press (feet low &amp; narrow)</t>
        </is>
      </c>
      <c r="B8" s="12" t="inlineStr">
        <is>
          <t>3</t>
        </is>
      </c>
      <c r="C8" s="12" t="inlineStr">
        <is>
          <t>10-12</t>
        </is>
      </c>
      <c r="D8" s="12" t="inlineStr">
        <is>
          <t>—</t>
        </is>
      </c>
      <c r="E8" s="12" t="inlineStr">
        <is>
          <t>Your pick</t>
        </is>
      </c>
      <c r="F8" s="12" t="inlineStr">
        <is>
          <t>8</t>
        </is>
      </c>
      <c r="G8" s="12" t="inlineStr">
        <is>
          <t>2 min</t>
        </is>
      </c>
      <c r="H8" s="8" t="inlineStr">
        <is>
          <t>Quad-bias stance. Full depth without butt tucking, 2-sec lowering. Drive knees over toes. Don't chase plates — chase the quad burn.</t>
        </is>
      </c>
      <c r="I8" s="12" t="inlineStr"/>
      <c r="J8" s="12" t="inlineStr"/>
      <c r="K8" s="12" t="inlineStr"/>
      <c r="L8" s="8" t="inlineStr"/>
    </row>
    <row r="9" ht="42" customHeight="1">
      <c r="A9" s="15" t="inlineStr">
        <is>
          <t>Seated Leg Curl</t>
        </is>
      </c>
      <c r="B9" s="16" t="inlineStr">
        <is>
          <t>3</t>
        </is>
      </c>
      <c r="C9" s="16" t="inlineStr">
        <is>
          <t>12-15</t>
        </is>
      </c>
      <c r="D9" s="16" t="inlineStr">
        <is>
          <t>—</t>
        </is>
      </c>
      <c r="E9" s="16" t="inlineStr">
        <is>
          <t>Your pick</t>
        </is>
      </c>
      <c r="F9" s="16" t="inlineStr">
        <is>
          <t>8-9</t>
        </is>
      </c>
      <c r="G9" s="16" t="inlineStr">
        <is>
          <t>90 sec</t>
        </is>
      </c>
      <c r="H9" s="17" t="inlineStr">
        <is>
          <t>Lean torso forward slightly for a longer hamstring stretch. Squeeze 1 sec at full flexion, 3-sec lowering.</t>
        </is>
      </c>
      <c r="I9" s="16" t="inlineStr"/>
      <c r="J9" s="16" t="inlineStr"/>
      <c r="K9" s="16" t="inlineStr"/>
      <c r="L9" s="17" t="inlineStr"/>
    </row>
    <row r="10" ht="42" customHeight="1">
      <c r="A10" s="11" t="inlineStr">
        <is>
          <t>Standing Calf Raise</t>
        </is>
      </c>
      <c r="B10" s="12" t="inlineStr">
        <is>
          <t>3</t>
        </is>
      </c>
      <c r="C10" s="12" t="inlineStr">
        <is>
          <t>10-12</t>
        </is>
      </c>
      <c r="D10" s="12" t="inlineStr">
        <is>
          <t>—</t>
        </is>
      </c>
      <c r="E10" s="12" t="inlineStr">
        <is>
          <t>Your pick</t>
        </is>
      </c>
      <c r="F10" s="12" t="inlineStr">
        <is>
          <t>8-9</t>
        </is>
      </c>
      <c r="G10" s="12" t="inlineStr">
        <is>
          <t>90 sec</t>
        </is>
      </c>
      <c r="H10" s="8" t="inlineStr">
        <is>
          <t>Full stretch at the bottom for a 2-count, drive through the big toe, pause at the top. No bouncing.</t>
        </is>
      </c>
      <c r="I10" s="12" t="inlineStr"/>
      <c r="J10" s="12" t="inlineStr"/>
      <c r="K10" s="12" t="inlineStr"/>
      <c r="L10" s="8" t="inlineStr"/>
    </row>
    <row r="11" ht="42" customHeight="1">
      <c r="A11" s="15" t="inlineStr">
        <is>
          <t>Cable Crunch</t>
        </is>
      </c>
      <c r="B11" s="16" t="inlineStr">
        <is>
          <t>3</t>
        </is>
      </c>
      <c r="C11" s="16" t="inlineStr">
        <is>
          <t>12-15</t>
        </is>
      </c>
      <c r="D11" s="16" t="inlineStr">
        <is>
          <t>—</t>
        </is>
      </c>
      <c r="E11" s="16" t="inlineStr">
        <is>
          <t>Your pick</t>
        </is>
      </c>
      <c r="F11" s="16" t="inlineStr">
        <is>
          <t>8</t>
        </is>
      </c>
      <c r="G11" s="16" t="inlineStr">
        <is>
          <t>60-90 sec</t>
        </is>
      </c>
      <c r="H11" s="17" t="inlineStr">
        <is>
          <t>Flex the spine — ribs to hips, don't just bow at the waist. Strong abs = strong squat brace.</t>
        </is>
      </c>
      <c r="I11" s="16" t="inlineStr"/>
      <c r="J11" s="16" t="inlineStr"/>
      <c r="K11" s="16" t="inlineStr"/>
      <c r="L11" s="17" t="inlineStr"/>
    </row>
    <row r="13" ht="20" customHeight="1">
      <c r="A13" s="10" t="inlineStr">
        <is>
          <t>THURSDAY — UPPER A: BENCH STRENGTH + BACK  (target: ≤85 min)</t>
        </is>
      </c>
    </row>
    <row r="14">
      <c r="A14" s="4" t="inlineStr">
        <is>
          <t>Exercise</t>
        </is>
      </c>
      <c r="B14" s="4" t="inlineStr">
        <is>
          <t>Set</t>
        </is>
      </c>
      <c r="C14" s="4" t="inlineStr">
        <is>
          <t>Target Reps</t>
        </is>
      </c>
      <c r="D14" s="4" t="inlineStr">
        <is>
          <t>%1RM</t>
        </is>
      </c>
      <c r="E14" s="4" t="inlineStr">
        <is>
          <t>Target Weight</t>
        </is>
      </c>
      <c r="F14" s="4" t="inlineStr">
        <is>
          <t>Target RPE</t>
        </is>
      </c>
      <c r="G14" s="4" t="inlineStr">
        <is>
          <t>Rest</t>
        </is>
      </c>
      <c r="H14" s="4" t="inlineStr">
        <is>
          <t>Coaching Cues / Special Instructions</t>
        </is>
      </c>
      <c r="I14" s="4" t="inlineStr">
        <is>
          <t>Actual Weight</t>
        </is>
      </c>
      <c r="J14" s="4" t="inlineStr">
        <is>
          <t>Actual Reps</t>
        </is>
      </c>
      <c r="K14" s="4" t="inlineStr">
        <is>
          <t>Actual RPE</t>
        </is>
      </c>
      <c r="L14" s="4" t="inlineStr">
        <is>
          <t>Set Notes (how it felt, bar speed, pump, tweaks)</t>
        </is>
      </c>
    </row>
    <row r="15">
      <c r="A15" s="11" t="inlineStr">
        <is>
          <t>Competition Bench</t>
        </is>
      </c>
      <c r="B15" s="12" t="inlineStr">
        <is>
          <t>1</t>
        </is>
      </c>
      <c r="C15" s="12" t="inlineStr">
        <is>
          <t>3</t>
        </is>
      </c>
      <c r="D15" s="12" t="inlineStr">
        <is>
          <t>82.5%</t>
        </is>
      </c>
      <c r="E15" s="12">
        <f>MROUND('Start Here'!$C$8*0.825,5)</f>
        <v/>
      </c>
      <c r="F15" s="12" t="inlineStr">
        <is>
          <t>8.5</t>
        </is>
      </c>
      <c r="G15" s="12" t="inlineStr">
        <is>
          <t>3-4 min</t>
        </is>
      </c>
      <c r="H15" s="8" t="inlineStr">
        <is>
          <t>Comp pause on every rep this day. Set your arch, pull the bar apart, tuck elbows ~45°, press back over your face. Leg drive on.  Last set: optional AMRAP, stop at RPE 9. Log reps for new e1RM.</t>
        </is>
      </c>
      <c r="I15" s="12" t="inlineStr"/>
      <c r="J15" s="12" t="inlineStr"/>
      <c r="K15" s="12" t="inlineStr"/>
      <c r="L15" s="8" t="inlineStr"/>
    </row>
    <row r="16">
      <c r="A16" s="11" t="inlineStr"/>
      <c r="B16" s="12" t="inlineStr">
        <is>
          <t>2</t>
        </is>
      </c>
      <c r="C16" s="12" t="inlineStr">
        <is>
          <t>3</t>
        </is>
      </c>
      <c r="D16" s="12" t="inlineStr">
        <is>
          <t>82.5%</t>
        </is>
      </c>
      <c r="E16" s="12">
        <f>MROUND('Start Here'!$C$8*0.825,5)</f>
        <v/>
      </c>
      <c r="F16" s="12" t="inlineStr">
        <is>
          <t>8.5</t>
        </is>
      </c>
      <c r="G16" s="12" t="inlineStr">
        <is>
          <t>3-4 min</t>
        </is>
      </c>
      <c r="H16" s="13" t="n"/>
      <c r="I16" s="12" t="inlineStr"/>
      <c r="J16" s="12" t="inlineStr"/>
      <c r="K16" s="12" t="inlineStr"/>
      <c r="L16" s="8" t="inlineStr"/>
    </row>
    <row r="17">
      <c r="A17" s="11" t="inlineStr"/>
      <c r="B17" s="12" t="inlineStr">
        <is>
          <t>3</t>
        </is>
      </c>
      <c r="C17" s="12" t="inlineStr">
        <is>
          <t>3</t>
        </is>
      </c>
      <c r="D17" s="12" t="inlineStr">
        <is>
          <t>82.5%</t>
        </is>
      </c>
      <c r="E17" s="12">
        <f>MROUND('Start Here'!$C$8*0.825,5)</f>
        <v/>
      </c>
      <c r="F17" s="12" t="inlineStr">
        <is>
          <t>8.5</t>
        </is>
      </c>
      <c r="G17" s="12" t="inlineStr">
        <is>
          <t>3-4 min</t>
        </is>
      </c>
      <c r="H17" s="14" t="n"/>
      <c r="I17" s="12" t="inlineStr"/>
      <c r="J17" s="12" t="inlineStr"/>
      <c r="K17" s="12" t="inlineStr"/>
      <c r="L17" s="8" t="inlineStr"/>
    </row>
    <row r="18" ht="42" customHeight="1">
      <c r="A18" s="15" t="inlineStr">
        <is>
          <t>Weighted Pull-Up</t>
        </is>
      </c>
      <c r="B18" s="16" t="inlineStr">
        <is>
          <t>4</t>
        </is>
      </c>
      <c r="C18" s="16" t="inlineStr">
        <is>
          <t>6-8</t>
        </is>
      </c>
      <c r="D18" s="16" t="inlineStr">
        <is>
          <t>—</t>
        </is>
      </c>
      <c r="E18" s="16" t="inlineStr">
        <is>
          <t>Your pick</t>
        </is>
      </c>
      <c r="F18" s="16" t="inlineStr">
        <is>
          <t>8</t>
        </is>
      </c>
      <c r="G18" s="16" t="inlineStr">
        <is>
          <t>2-3 min</t>
        </is>
      </c>
      <c r="H18" s="17" t="inlineStr">
        <is>
          <t>Add weight when you own 4x8 at bodyweight+. Dead hang start, drive elbows to hips, chest to bar. Lats build your bench arch and your V-taper.</t>
        </is>
      </c>
      <c r="I18" s="16" t="inlineStr"/>
      <c r="J18" s="16" t="inlineStr"/>
      <c r="K18" s="16" t="inlineStr"/>
      <c r="L18" s="17" t="inlineStr"/>
    </row>
    <row r="19" ht="42" customHeight="1">
      <c r="A19" s="11" t="inlineStr">
        <is>
          <t>Seated DB Shoulder Press</t>
        </is>
      </c>
      <c r="B19" s="12" t="inlineStr">
        <is>
          <t>3</t>
        </is>
      </c>
      <c r="C19" s="12" t="inlineStr">
        <is>
          <t>8-10</t>
        </is>
      </c>
      <c r="D19" s="12" t="inlineStr">
        <is>
          <t>—</t>
        </is>
      </c>
      <c r="E19" s="12" t="inlineStr">
        <is>
          <t>Your pick</t>
        </is>
      </c>
      <c r="F19" s="12" t="inlineStr">
        <is>
          <t>8</t>
        </is>
      </c>
      <c r="G19" s="12" t="inlineStr">
        <is>
          <t>2 min</t>
        </is>
      </c>
      <c r="H19" s="8" t="inlineStr">
        <is>
          <t>Slight back support, press up-and-in, stop just short of lockout to keep tension on delts. Start ~55-65s.</t>
        </is>
      </c>
      <c r="I19" s="12" t="inlineStr"/>
      <c r="J19" s="12" t="inlineStr"/>
      <c r="K19" s="12" t="inlineStr"/>
      <c r="L19" s="8" t="inlineStr"/>
    </row>
    <row r="20" ht="42" customHeight="1">
      <c r="A20" s="15" t="inlineStr">
        <is>
          <t>Chest-Supported Row</t>
        </is>
      </c>
      <c r="B20" s="16" t="inlineStr">
        <is>
          <t>3</t>
        </is>
      </c>
      <c r="C20" s="16" t="inlineStr">
        <is>
          <t>10-12</t>
        </is>
      </c>
      <c r="D20" s="16" t="inlineStr">
        <is>
          <t>—</t>
        </is>
      </c>
      <c r="E20" s="16" t="inlineStr">
        <is>
          <t>Your pick</t>
        </is>
      </c>
      <c r="F20" s="16" t="inlineStr">
        <is>
          <t>8</t>
        </is>
      </c>
      <c r="G20" s="16" t="inlineStr">
        <is>
          <t>90 sec</t>
        </is>
      </c>
      <c r="H20" s="17" t="inlineStr">
        <is>
          <t>Chest glued to pad — no cheating with body English. Pull to lower ribs, squeeze the shoulder blades for 1 sec.</t>
        </is>
      </c>
      <c r="I20" s="16" t="inlineStr"/>
      <c r="J20" s="16" t="inlineStr"/>
      <c r="K20" s="16" t="inlineStr"/>
      <c r="L20" s="17" t="inlineStr"/>
    </row>
    <row r="21" ht="42" customHeight="1">
      <c r="A21" s="11" t="inlineStr">
        <is>
          <t>SUPERSET: EZ-Bar Curl + Overhead Cable Extension</t>
        </is>
      </c>
      <c r="B21" s="12" t="inlineStr">
        <is>
          <t>3</t>
        </is>
      </c>
      <c r="C21" s="12" t="inlineStr">
        <is>
          <t>10-12 each</t>
        </is>
      </c>
      <c r="D21" s="12" t="inlineStr">
        <is>
          <t>—</t>
        </is>
      </c>
      <c r="E21" s="12" t="inlineStr">
        <is>
          <t>Your pick</t>
        </is>
      </c>
      <c r="F21" s="12" t="inlineStr">
        <is>
          <t>8</t>
        </is>
      </c>
      <c r="G21" s="12" t="inlineStr">
        <is>
          <t>90 sec after pair</t>
        </is>
      </c>
      <c r="H21" s="8" t="inlineStr">
        <is>
          <t>Curls: elbows pinned, no swing. Overhead extensions: full stretch behind head — long-head triceps grow from the stretch. Alternate exercises, rest after both.</t>
        </is>
      </c>
      <c r="I21" s="12" t="inlineStr"/>
      <c r="J21" s="12" t="inlineStr"/>
      <c r="K21" s="12" t="inlineStr"/>
      <c r="L21" s="8" t="inlineStr"/>
    </row>
    <row r="22" ht="42" customHeight="1">
      <c r="A22" s="15" t="inlineStr">
        <is>
          <t>Face Pull</t>
        </is>
      </c>
      <c r="B22" s="16" t="inlineStr">
        <is>
          <t>3</t>
        </is>
      </c>
      <c r="C22" s="16" t="inlineStr">
        <is>
          <t>15-20</t>
        </is>
      </c>
      <c r="D22" s="16" t="inlineStr">
        <is>
          <t>—</t>
        </is>
      </c>
      <c r="E22" s="16" t="inlineStr">
        <is>
          <t>Your pick</t>
        </is>
      </c>
      <c r="F22" s="16" t="inlineStr">
        <is>
          <t>8</t>
        </is>
      </c>
      <c r="G22" s="16" t="inlineStr">
        <is>
          <t>60 sec</t>
        </is>
      </c>
      <c r="H22" s="17" t="inlineStr">
        <is>
          <t>Rope to forehead, thumbs back, external rotate at the end. Shoulder insurance — never skip these.</t>
        </is>
      </c>
      <c r="I22" s="16" t="inlineStr"/>
      <c r="J22" s="16" t="inlineStr"/>
      <c r="K22" s="16" t="inlineStr"/>
      <c r="L22" s="17" t="inlineStr"/>
    </row>
    <row r="24" ht="20" customHeight="1">
      <c r="A24" s="10" t="inlineStr">
        <is>
          <t>SATURDAY — LOWER B: DEADLIFT + ATHLETIC LOWER  (long session — take your time)</t>
        </is>
      </c>
    </row>
    <row r="25">
      <c r="A25" s="4" t="inlineStr">
        <is>
          <t>Exercise</t>
        </is>
      </c>
      <c r="B25" s="4" t="inlineStr">
        <is>
          <t>Set</t>
        </is>
      </c>
      <c r="C25" s="4" t="inlineStr">
        <is>
          <t>Target Reps</t>
        </is>
      </c>
      <c r="D25" s="4" t="inlineStr">
        <is>
          <t>%1RM</t>
        </is>
      </c>
      <c r="E25" s="4" t="inlineStr">
        <is>
          <t>Target Weight</t>
        </is>
      </c>
      <c r="F25" s="4" t="inlineStr">
        <is>
          <t>Target RPE</t>
        </is>
      </c>
      <c r="G25" s="4" t="inlineStr">
        <is>
          <t>Rest</t>
        </is>
      </c>
      <c r="H25" s="4" t="inlineStr">
        <is>
          <t>Coaching Cues / Special Instructions</t>
        </is>
      </c>
      <c r="I25" s="4" t="inlineStr">
        <is>
          <t>Actual Weight</t>
        </is>
      </c>
      <c r="J25" s="4" t="inlineStr">
        <is>
          <t>Actual Reps</t>
        </is>
      </c>
      <c r="K25" s="4" t="inlineStr">
        <is>
          <t>Actual RPE</t>
        </is>
      </c>
      <c r="L25" s="4" t="inlineStr">
        <is>
          <t>Set Notes (how it felt, bar speed, pump, tweaks)</t>
        </is>
      </c>
    </row>
    <row r="26">
      <c r="A26" s="11" t="inlineStr">
        <is>
          <t>Deadlift</t>
        </is>
      </c>
      <c r="B26" s="12" t="inlineStr">
        <is>
          <t>1</t>
        </is>
      </c>
      <c r="C26" s="12" t="inlineStr">
        <is>
          <t>2</t>
        </is>
      </c>
      <c r="D26" s="12" t="inlineStr">
        <is>
          <t>82.5%</t>
        </is>
      </c>
      <c r="E26" s="12">
        <f>MROUND('Start Here'!$C$9*0.825,5)</f>
        <v/>
      </c>
      <c r="F26" s="12" t="inlineStr">
        <is>
          <t>8.5</t>
        </is>
      </c>
      <c r="G26" s="12" t="inlineStr">
        <is>
          <t>3-4 min</t>
        </is>
      </c>
      <c r="H26" s="8" t="inlineStr">
        <is>
          <t>Wedge hard, pull the slack out until the bar clicks, push the floor away. Hips and shoulders rise together. Reset every rep — no touch-and-go here.  Then: optional heavy single @ 87.5% (~RPE 8.5). No grinders.</t>
        </is>
      </c>
      <c r="I26" s="12" t="inlineStr"/>
      <c r="J26" s="12" t="inlineStr"/>
      <c r="K26" s="12" t="inlineStr"/>
      <c r="L26" s="8" t="inlineStr"/>
    </row>
    <row r="27">
      <c r="A27" s="11" t="inlineStr"/>
      <c r="B27" s="12" t="inlineStr">
        <is>
          <t>2</t>
        </is>
      </c>
      <c r="C27" s="12" t="inlineStr">
        <is>
          <t>2</t>
        </is>
      </c>
      <c r="D27" s="12" t="inlineStr">
        <is>
          <t>82.5%</t>
        </is>
      </c>
      <c r="E27" s="12">
        <f>MROUND('Start Here'!$C$9*0.825,5)</f>
        <v/>
      </c>
      <c r="F27" s="12" t="inlineStr">
        <is>
          <t>8.5</t>
        </is>
      </c>
      <c r="G27" s="12" t="inlineStr">
        <is>
          <t>3-4 min</t>
        </is>
      </c>
      <c r="H27" s="14" t="n"/>
      <c r="I27" s="12" t="inlineStr"/>
      <c r="J27" s="12" t="inlineStr"/>
      <c r="K27" s="12" t="inlineStr"/>
      <c r="L27" s="8" t="inlineStr"/>
    </row>
    <row r="28">
      <c r="A28" s="11" t="inlineStr">
        <is>
          <t>Paused Squat (2-ct)</t>
        </is>
      </c>
      <c r="B28" s="12" t="inlineStr">
        <is>
          <t>1</t>
        </is>
      </c>
      <c r="C28" s="12" t="inlineStr">
        <is>
          <t>3</t>
        </is>
      </c>
      <c r="D28" s="12" t="inlineStr">
        <is>
          <t>72.5%</t>
        </is>
      </c>
      <c r="E28" s="12">
        <f>MROUND('Start Here'!$C$7*0.725,5)</f>
        <v/>
      </c>
      <c r="F28" s="12" t="inlineStr">
        <is>
          <t>8</t>
        </is>
      </c>
      <c r="G28" s="12" t="inlineStr">
        <is>
          <t>3-4 min</t>
        </is>
      </c>
      <c r="H28" s="8" t="inlineStr">
        <is>
          <t>2-second dead-stop in the hole, stay braced and upright, no bounce. Builds bottom-position strength and quad size. Own the pause — don't rush it.</t>
        </is>
      </c>
      <c r="I28" s="12" t="inlineStr"/>
      <c r="J28" s="12" t="inlineStr"/>
      <c r="K28" s="12" t="inlineStr"/>
      <c r="L28" s="8" t="inlineStr"/>
    </row>
    <row r="29">
      <c r="A29" s="11" t="inlineStr"/>
      <c r="B29" s="12" t="inlineStr">
        <is>
          <t>2</t>
        </is>
      </c>
      <c r="C29" s="12" t="inlineStr">
        <is>
          <t>3</t>
        </is>
      </c>
      <c r="D29" s="12" t="inlineStr">
        <is>
          <t>72.5%</t>
        </is>
      </c>
      <c r="E29" s="12">
        <f>MROUND('Start Here'!$C$7*0.725,5)</f>
        <v/>
      </c>
      <c r="F29" s="12" t="inlineStr">
        <is>
          <t>8</t>
        </is>
      </c>
      <c r="G29" s="12" t="inlineStr">
        <is>
          <t>3-4 min</t>
        </is>
      </c>
      <c r="H29" s="13" t="n"/>
      <c r="I29" s="12" t="inlineStr"/>
      <c r="J29" s="12" t="inlineStr"/>
      <c r="K29" s="12" t="inlineStr"/>
      <c r="L29" s="8" t="inlineStr"/>
    </row>
    <row r="30">
      <c r="A30" s="11" t="inlineStr"/>
      <c r="B30" s="12" t="inlineStr">
        <is>
          <t>3</t>
        </is>
      </c>
      <c r="C30" s="12" t="inlineStr">
        <is>
          <t>3</t>
        </is>
      </c>
      <c r="D30" s="12" t="inlineStr">
        <is>
          <t>72.5%</t>
        </is>
      </c>
      <c r="E30" s="12">
        <f>MROUND('Start Here'!$C$7*0.725,5)</f>
        <v/>
      </c>
      <c r="F30" s="12" t="inlineStr">
        <is>
          <t>8</t>
        </is>
      </c>
      <c r="G30" s="12" t="inlineStr">
        <is>
          <t>3-4 min</t>
        </is>
      </c>
      <c r="H30" s="14" t="n"/>
      <c r="I30" s="12" t="inlineStr"/>
      <c r="J30" s="12" t="inlineStr"/>
      <c r="K30" s="12" t="inlineStr"/>
      <c r="L30" s="8" t="inlineStr"/>
    </row>
    <row r="31" ht="42" customHeight="1">
      <c r="A31" s="15" t="inlineStr">
        <is>
          <t>Bulgarian Split Squat</t>
        </is>
      </c>
      <c r="B31" s="16" t="inlineStr">
        <is>
          <t>3</t>
        </is>
      </c>
      <c r="C31" s="16" t="inlineStr">
        <is>
          <t>8-10 /leg</t>
        </is>
      </c>
      <c r="D31" s="16" t="inlineStr">
        <is>
          <t>—</t>
        </is>
      </c>
      <c r="E31" s="16" t="inlineStr">
        <is>
          <t>Your pick</t>
        </is>
      </c>
      <c r="F31" s="16" t="inlineStr">
        <is>
          <t>8</t>
        </is>
      </c>
      <c r="G31" s="16" t="inlineStr">
        <is>
          <t>2 min</t>
        </is>
      </c>
      <c r="H31" s="17" t="inlineStr">
        <is>
          <t>Rear foot elevated, slight forward lean for glutes, upright for quads — pick your target. This is your athleticism builder: balance, single-leg strength, hip stability. Start with 40-50 lb DBs.</t>
        </is>
      </c>
      <c r="I31" s="16" t="inlineStr"/>
      <c r="J31" s="16" t="inlineStr"/>
      <c r="K31" s="16" t="inlineStr"/>
      <c r="L31" s="17" t="inlineStr"/>
    </row>
    <row r="32" ht="42" customHeight="1">
      <c r="A32" s="11" t="inlineStr">
        <is>
          <t>Back Extension (glute bias)</t>
        </is>
      </c>
      <c r="B32" s="12" t="inlineStr">
        <is>
          <t>3</t>
        </is>
      </c>
      <c r="C32" s="12" t="inlineStr">
        <is>
          <t>12-15</t>
        </is>
      </c>
      <c r="D32" s="12" t="inlineStr">
        <is>
          <t>—</t>
        </is>
      </c>
      <c r="E32" s="12" t="inlineStr">
        <is>
          <t>Your pick</t>
        </is>
      </c>
      <c r="F32" s="12" t="inlineStr">
        <is>
          <t>8-9</t>
        </is>
      </c>
      <c r="G32" s="12" t="inlineStr">
        <is>
          <t>90 sec</t>
        </is>
      </c>
      <c r="H32" s="8" t="inlineStr">
        <is>
          <t>Round upper back slightly, tuck chin, squeeze glutes to lift — don't hyperextend the spine. Hold a plate when 15 gets easy.</t>
        </is>
      </c>
      <c r="I32" s="12" t="inlineStr"/>
      <c r="J32" s="12" t="inlineStr"/>
      <c r="K32" s="12" t="inlineStr"/>
      <c r="L32" s="8" t="inlineStr"/>
    </row>
    <row r="33" ht="42" customHeight="1">
      <c r="A33" s="15" t="inlineStr">
        <is>
          <t>Walking DB Lunge</t>
        </is>
      </c>
      <c r="B33" s="16" t="inlineStr">
        <is>
          <t>2</t>
        </is>
      </c>
      <c r="C33" s="16" t="inlineStr">
        <is>
          <t>20 steps</t>
        </is>
      </c>
      <c r="D33" s="16" t="inlineStr">
        <is>
          <t>—</t>
        </is>
      </c>
      <c r="E33" s="16" t="inlineStr">
        <is>
          <t>Your pick</t>
        </is>
      </c>
      <c r="F33" s="16" t="inlineStr">
        <is>
          <t>8</t>
        </is>
      </c>
      <c r="G33" s="16" t="inlineStr">
        <is>
          <t>2 min</t>
        </is>
      </c>
      <c r="H33" s="17" t="inlineStr">
        <is>
          <t>Long strides, soft knee touch, continuous walking. Brutal and athletic. Light DBs are plenty after everything else.</t>
        </is>
      </c>
      <c r="I33" s="16" t="inlineStr"/>
      <c r="J33" s="16" t="inlineStr"/>
      <c r="K33" s="16" t="inlineStr"/>
      <c r="L33" s="17" t="inlineStr"/>
    </row>
    <row r="34" ht="42" customHeight="1">
      <c r="A34" s="11" t="inlineStr">
        <is>
          <t>Seated Calf Raise</t>
        </is>
      </c>
      <c r="B34" s="12" t="inlineStr">
        <is>
          <t>4</t>
        </is>
      </c>
      <c r="C34" s="12" t="inlineStr">
        <is>
          <t>12-15</t>
        </is>
      </c>
      <c r="D34" s="12" t="inlineStr">
        <is>
          <t>—</t>
        </is>
      </c>
      <c r="E34" s="12" t="inlineStr">
        <is>
          <t>Your pick</t>
        </is>
      </c>
      <c r="F34" s="12" t="inlineStr">
        <is>
          <t>8-9</t>
        </is>
      </c>
      <c r="G34" s="12" t="inlineStr">
        <is>
          <t>60-90 sec</t>
        </is>
      </c>
      <c r="H34" s="8" t="inlineStr">
        <is>
          <t>Soleus focus. Slow 3-sec negative, deep stretch, pause at top.</t>
        </is>
      </c>
      <c r="I34" s="12" t="inlineStr"/>
      <c r="J34" s="12" t="inlineStr"/>
      <c r="K34" s="12" t="inlineStr"/>
      <c r="L34" s="8" t="inlineStr"/>
    </row>
    <row r="35" ht="42" customHeight="1">
      <c r="A35" s="15" t="inlineStr">
        <is>
          <t>Hanging Leg Raise</t>
        </is>
      </c>
      <c r="B35" s="16" t="inlineStr">
        <is>
          <t>3</t>
        </is>
      </c>
      <c r="C35" s="16" t="inlineStr">
        <is>
          <t>10-15</t>
        </is>
      </c>
      <c r="D35" s="16" t="inlineStr">
        <is>
          <t>—</t>
        </is>
      </c>
      <c r="E35" s="16" t="inlineStr">
        <is>
          <t>Your pick</t>
        </is>
      </c>
      <c r="F35" s="16" t="inlineStr">
        <is>
          <t>8</t>
        </is>
      </c>
      <c r="G35" s="16" t="inlineStr">
        <is>
          <t>90 sec</t>
        </is>
      </c>
      <c r="H35" s="17" t="inlineStr">
        <is>
          <t>Posterior pelvic tilt at the top — curl the pelvis up, don't just swing the legs. Bend knees if needed.</t>
        </is>
      </c>
      <c r="I35" s="16" t="inlineStr"/>
      <c r="J35" s="16" t="inlineStr"/>
      <c r="K35" s="16" t="inlineStr"/>
      <c r="L35" s="17" t="inlineStr"/>
    </row>
    <row r="37" ht="20" customHeight="1">
      <c r="A37" s="10" t="inlineStr">
        <is>
          <t>SUNDAY — UPPER B: VOLUME BENCH + PUMP DAY  (long session — chase the pump)</t>
        </is>
      </c>
    </row>
    <row r="38">
      <c r="A38" s="4" t="inlineStr">
        <is>
          <t>Exercise</t>
        </is>
      </c>
      <c r="B38" s="4" t="inlineStr">
        <is>
          <t>Set</t>
        </is>
      </c>
      <c r="C38" s="4" t="inlineStr">
        <is>
          <t>Target Reps</t>
        </is>
      </c>
      <c r="D38" s="4" t="inlineStr">
        <is>
          <t>%1RM</t>
        </is>
      </c>
      <c r="E38" s="4" t="inlineStr">
        <is>
          <t>Target Weight</t>
        </is>
      </c>
      <c r="F38" s="4" t="inlineStr">
        <is>
          <t>Target RPE</t>
        </is>
      </c>
      <c r="G38" s="4" t="inlineStr">
        <is>
          <t>Rest</t>
        </is>
      </c>
      <c r="H38" s="4" t="inlineStr">
        <is>
          <t>Coaching Cues / Special Instructions</t>
        </is>
      </c>
      <c r="I38" s="4" t="inlineStr">
        <is>
          <t>Actual Weight</t>
        </is>
      </c>
      <c r="J38" s="4" t="inlineStr">
        <is>
          <t>Actual Reps</t>
        </is>
      </c>
      <c r="K38" s="4" t="inlineStr">
        <is>
          <t>Actual RPE</t>
        </is>
      </c>
      <c r="L38" s="4" t="inlineStr">
        <is>
          <t>Set Notes (how it felt, bar speed, pump, tweaks)</t>
        </is>
      </c>
    </row>
    <row r="39">
      <c r="A39" s="11" t="inlineStr">
        <is>
          <t>Touch-and-Go Bench</t>
        </is>
      </c>
      <c r="B39" s="12" t="inlineStr">
        <is>
          <t>1</t>
        </is>
      </c>
      <c r="C39" s="12" t="inlineStr">
        <is>
          <t>8</t>
        </is>
      </c>
      <c r="D39" s="12" t="inlineStr">
        <is>
          <t>72.5%</t>
        </is>
      </c>
      <c r="E39" s="12">
        <f>MROUND('Start Here'!$C$8*0.725,5)</f>
        <v/>
      </c>
      <c r="F39" s="12" t="inlineStr">
        <is>
          <t>8</t>
        </is>
      </c>
      <c r="G39" s="12" t="inlineStr">
        <is>
          <t>3-4 min</t>
        </is>
      </c>
      <c r="H39" s="8" t="inlineStr">
        <is>
          <t>Smooth touch, no bounce off the chest. Slight tuck, squeeze pecs hard at lockout each rep. This is a muscle set, not a strength test — chase the pec pump.</t>
        </is>
      </c>
      <c r="I39" s="12" t="inlineStr"/>
      <c r="J39" s="12" t="inlineStr"/>
      <c r="K39" s="12" t="inlineStr"/>
      <c r="L39" s="8" t="inlineStr"/>
    </row>
    <row r="40">
      <c r="A40" s="11" t="inlineStr"/>
      <c r="B40" s="12" t="inlineStr">
        <is>
          <t>2</t>
        </is>
      </c>
      <c r="C40" s="12" t="inlineStr">
        <is>
          <t>8</t>
        </is>
      </c>
      <c r="D40" s="12" t="inlineStr">
        <is>
          <t>72.5%</t>
        </is>
      </c>
      <c r="E40" s="12">
        <f>MROUND('Start Here'!$C$8*0.725,5)</f>
        <v/>
      </c>
      <c r="F40" s="12" t="inlineStr">
        <is>
          <t>8</t>
        </is>
      </c>
      <c r="G40" s="12" t="inlineStr">
        <is>
          <t>3-4 min</t>
        </is>
      </c>
      <c r="H40" s="13" t="n"/>
      <c r="I40" s="12" t="inlineStr"/>
      <c r="J40" s="12" t="inlineStr"/>
      <c r="K40" s="12" t="inlineStr"/>
      <c r="L40" s="8" t="inlineStr"/>
    </row>
    <row r="41">
      <c r="A41" s="11" t="inlineStr"/>
      <c r="B41" s="12" t="inlineStr">
        <is>
          <t>3</t>
        </is>
      </c>
      <c r="C41" s="12" t="inlineStr">
        <is>
          <t>8</t>
        </is>
      </c>
      <c r="D41" s="12" t="inlineStr">
        <is>
          <t>72.5%</t>
        </is>
      </c>
      <c r="E41" s="12">
        <f>MROUND('Start Here'!$C$8*0.725,5)</f>
        <v/>
      </c>
      <c r="F41" s="12" t="inlineStr">
        <is>
          <t>8</t>
        </is>
      </c>
      <c r="G41" s="12" t="inlineStr">
        <is>
          <t>3-4 min</t>
        </is>
      </c>
      <c r="H41" s="13" t="n"/>
      <c r="I41" s="12" t="inlineStr"/>
      <c r="J41" s="12" t="inlineStr"/>
      <c r="K41" s="12" t="inlineStr"/>
      <c r="L41" s="8" t="inlineStr"/>
    </row>
    <row r="42">
      <c r="A42" s="11" t="inlineStr"/>
      <c r="B42" s="12" t="inlineStr">
        <is>
          <t>4</t>
        </is>
      </c>
      <c r="C42" s="12" t="inlineStr">
        <is>
          <t>8</t>
        </is>
      </c>
      <c r="D42" s="12" t="inlineStr">
        <is>
          <t>72.5%</t>
        </is>
      </c>
      <c r="E42" s="12">
        <f>MROUND('Start Here'!$C$8*0.725,5)</f>
        <v/>
      </c>
      <c r="F42" s="12" t="inlineStr">
        <is>
          <t>8</t>
        </is>
      </c>
      <c r="G42" s="12" t="inlineStr">
        <is>
          <t>3-4 min</t>
        </is>
      </c>
      <c r="H42" s="14" t="n"/>
      <c r="I42" s="12" t="inlineStr"/>
      <c r="J42" s="12" t="inlineStr"/>
      <c r="K42" s="12" t="inlineStr"/>
      <c r="L42" s="8" t="inlineStr"/>
    </row>
    <row r="43" ht="42" customHeight="1">
      <c r="A43" s="15" t="inlineStr">
        <is>
          <t>Incline DB Press (30°)</t>
        </is>
      </c>
      <c r="B43" s="16" t="inlineStr">
        <is>
          <t>3</t>
        </is>
      </c>
      <c r="C43" s="16" t="inlineStr">
        <is>
          <t>10-12</t>
        </is>
      </c>
      <c r="D43" s="16" t="inlineStr">
        <is>
          <t>—</t>
        </is>
      </c>
      <c r="E43" s="16" t="inlineStr">
        <is>
          <t>Your pick</t>
        </is>
      </c>
      <c r="F43" s="16" t="inlineStr">
        <is>
          <t>8</t>
        </is>
      </c>
      <c r="G43" s="16" t="inlineStr">
        <is>
          <t>2 min</t>
        </is>
      </c>
      <c r="H43" s="17" t="inlineStr">
        <is>
          <t>Deep stretch at the bottom, press up-and-in, squeeze upper pecs at top. Don't touch the DBs together hard — keep tension. Start ~75-85s.</t>
        </is>
      </c>
      <c r="I43" s="16" t="inlineStr"/>
      <c r="J43" s="16" t="inlineStr"/>
      <c r="K43" s="16" t="inlineStr"/>
      <c r="L43" s="17" t="inlineStr"/>
    </row>
    <row r="44" ht="42" customHeight="1">
      <c r="A44" s="11" t="inlineStr">
        <is>
          <t>Lat Pulldown (neutral wide)</t>
        </is>
      </c>
      <c r="B44" s="12" t="inlineStr">
        <is>
          <t>4</t>
        </is>
      </c>
      <c r="C44" s="12" t="inlineStr">
        <is>
          <t>10-12</t>
        </is>
      </c>
      <c r="D44" s="12" t="inlineStr">
        <is>
          <t>—</t>
        </is>
      </c>
      <c r="E44" s="12" t="inlineStr">
        <is>
          <t>Your pick</t>
        </is>
      </c>
      <c r="F44" s="12" t="inlineStr">
        <is>
          <t>8</t>
        </is>
      </c>
      <c r="G44" s="12" t="inlineStr">
        <is>
          <t>90 sec</t>
        </is>
      </c>
      <c r="H44" s="8" t="inlineStr">
        <is>
          <t>Drive elbows down and back, pause 1 sec at the chest, 3-sec controlled return. Think 'elbows in back pockets' — feel the lats, not the arms.</t>
        </is>
      </c>
      <c r="I44" s="12" t="inlineStr"/>
      <c r="J44" s="12" t="inlineStr"/>
      <c r="K44" s="12" t="inlineStr"/>
      <c r="L44" s="8" t="inlineStr"/>
    </row>
    <row r="45" ht="42" customHeight="1">
      <c r="A45" s="15" t="inlineStr">
        <is>
          <t>Single-Arm Cable Row</t>
        </is>
      </c>
      <c r="B45" s="16" t="inlineStr">
        <is>
          <t>3</t>
        </is>
      </c>
      <c r="C45" s="16" t="inlineStr">
        <is>
          <t>10-12 /arm</t>
        </is>
      </c>
      <c r="D45" s="16" t="inlineStr">
        <is>
          <t>—</t>
        </is>
      </c>
      <c r="E45" s="16" t="inlineStr">
        <is>
          <t>Your pick</t>
        </is>
      </c>
      <c r="F45" s="16" t="inlineStr">
        <is>
          <t>8</t>
        </is>
      </c>
      <c r="G45" s="16" t="inlineStr">
        <is>
          <t>90 sec</t>
        </is>
      </c>
      <c r="H45" s="17" t="inlineStr">
        <is>
          <t>Allow a full stretch and slight rotation forward, then row and squeeze. One side at a time = maximum mind-muscle connection.</t>
        </is>
      </c>
      <c r="I45" s="16" t="inlineStr"/>
      <c r="J45" s="16" t="inlineStr"/>
      <c r="K45" s="16" t="inlineStr"/>
      <c r="L45" s="17" t="inlineStr"/>
    </row>
    <row r="46" ht="42" customHeight="1">
      <c r="A46" s="11" t="inlineStr">
        <is>
          <t>DB Lateral Raise</t>
        </is>
      </c>
      <c r="B46" s="12" t="inlineStr">
        <is>
          <t>4</t>
        </is>
      </c>
      <c r="C46" s="12" t="inlineStr">
        <is>
          <t>12-15</t>
        </is>
      </c>
      <c r="D46" s="12" t="inlineStr">
        <is>
          <t>—</t>
        </is>
      </c>
      <c r="E46" s="12" t="inlineStr">
        <is>
          <t>Your pick</t>
        </is>
      </c>
      <c r="F46" s="12" t="inlineStr">
        <is>
          <t>9</t>
        </is>
      </c>
      <c r="G46" s="12" t="inlineStr">
        <is>
          <t>60-75 sec</t>
        </is>
      </c>
      <c r="H46" s="8" t="inlineStr">
        <is>
          <t>Lead with the elbows, tilt pinkies slightly up, stop at shoulder height. Weeks 3 &amp; 7: drop-set the last set (drop ~40%, rep to near-failure). Side delts make you look athletic in a t-shirt.</t>
        </is>
      </c>
      <c r="I46" s="12" t="inlineStr"/>
      <c r="J46" s="12" t="inlineStr"/>
      <c r="K46" s="12" t="inlineStr"/>
      <c r="L46" s="8" t="inlineStr"/>
    </row>
    <row r="47" ht="42" customHeight="1">
      <c r="A47" s="15" t="inlineStr">
        <is>
          <t>Cable Fly (low-to-high or pec deck)</t>
        </is>
      </c>
      <c r="B47" s="16" t="inlineStr">
        <is>
          <t>3</t>
        </is>
      </c>
      <c r="C47" s="16" t="inlineStr">
        <is>
          <t>12-15</t>
        </is>
      </c>
      <c r="D47" s="16" t="inlineStr">
        <is>
          <t>—</t>
        </is>
      </c>
      <c r="E47" s="16" t="inlineStr">
        <is>
          <t>Your pick</t>
        </is>
      </c>
      <c r="F47" s="16" t="inlineStr">
        <is>
          <t>8-9</t>
        </is>
      </c>
      <c r="G47" s="16" t="inlineStr">
        <is>
          <t>60-90 sec</t>
        </is>
      </c>
      <c r="H47" s="17" t="inlineStr">
        <is>
          <t>Big stretch, hug a barrel, squeeze pecs together for a 1-count. Pure pump work — moderate weight, perfect reps.</t>
        </is>
      </c>
      <c r="I47" s="16" t="inlineStr"/>
      <c r="J47" s="16" t="inlineStr"/>
      <c r="K47" s="16" t="inlineStr"/>
      <c r="L47" s="17" t="inlineStr"/>
    </row>
    <row r="48" ht="42" customHeight="1">
      <c r="A48" s="11" t="inlineStr">
        <is>
          <t>SUPERSET: Incline DB Curl + Lying DB Skullcrusher</t>
        </is>
      </c>
      <c r="B48" s="12" t="inlineStr">
        <is>
          <t>3</t>
        </is>
      </c>
      <c r="C48" s="12" t="inlineStr">
        <is>
          <t>10-12 each</t>
        </is>
      </c>
      <c r="D48" s="12" t="inlineStr">
        <is>
          <t>—</t>
        </is>
      </c>
      <c r="E48" s="12" t="inlineStr">
        <is>
          <t>Your pick</t>
        </is>
      </c>
      <c r="F48" s="12" t="inlineStr">
        <is>
          <t>8-9</t>
        </is>
      </c>
      <c r="G48" s="12" t="inlineStr">
        <is>
          <t>90 sec after pair</t>
        </is>
      </c>
      <c r="H48" s="8" t="inlineStr">
        <is>
          <t>Incline curls: full stretch at the bottom, biceps long-head heaven. Skullcrushers: lower behind the head slightly for more stretch.</t>
        </is>
      </c>
      <c r="I48" s="12" t="inlineStr"/>
      <c r="J48" s="12" t="inlineStr"/>
      <c r="K48" s="12" t="inlineStr"/>
      <c r="L48" s="8" t="inlineStr"/>
    </row>
    <row r="49" ht="42" customHeight="1">
      <c r="A49" s="15" t="inlineStr">
        <is>
          <t>SUPERSET: Hammer Curl + Rope Pressdown</t>
        </is>
      </c>
      <c r="B49" s="16" t="inlineStr">
        <is>
          <t>2</t>
        </is>
      </c>
      <c r="C49" s="16" t="inlineStr">
        <is>
          <t>12-15 each</t>
        </is>
      </c>
      <c r="D49" s="16" t="inlineStr">
        <is>
          <t>—</t>
        </is>
      </c>
      <c r="E49" s="16" t="inlineStr">
        <is>
          <t>Your pick</t>
        </is>
      </c>
      <c r="F49" s="16" t="inlineStr">
        <is>
          <t>9</t>
        </is>
      </c>
      <c r="G49" s="16" t="inlineStr">
        <is>
          <t>60 sec after pair</t>
        </is>
      </c>
      <c r="H49" s="17" t="inlineStr">
        <is>
          <t>Finisher — chase the arm pump. Strict form, short rests, walk out with sleeves tight.</t>
        </is>
      </c>
      <c r="I49" s="16" t="inlineStr"/>
      <c r="J49" s="16" t="inlineStr"/>
      <c r="K49" s="16" t="inlineStr"/>
      <c r="L49" s="17" t="inlineStr"/>
    </row>
    <row r="50" ht="42" customHeight="1">
      <c r="A50" s="11" t="inlineStr">
        <is>
          <t>Reverse Pec Deck (rear delts)</t>
        </is>
      </c>
      <c r="B50" s="12" t="inlineStr">
        <is>
          <t>3</t>
        </is>
      </c>
      <c r="C50" s="12" t="inlineStr">
        <is>
          <t>15-20</t>
        </is>
      </c>
      <c r="D50" s="12" t="inlineStr">
        <is>
          <t>—</t>
        </is>
      </c>
      <c r="E50" s="12" t="inlineStr">
        <is>
          <t>Your pick</t>
        </is>
      </c>
      <c r="F50" s="12" t="inlineStr">
        <is>
          <t>8-9</t>
        </is>
      </c>
      <c r="G50" s="12" t="inlineStr">
        <is>
          <t>60 sec</t>
        </is>
      </c>
      <c r="H50" s="8" t="inlineStr">
        <is>
          <t>Lead with elbows out, don't squeeze shoulder blades — keep it in the rear delts. Posture, shoulder health, 3-D delts.</t>
        </is>
      </c>
      <c r="I50" s="12" t="inlineStr"/>
      <c r="J50" s="12" t="inlineStr"/>
      <c r="K50" s="12" t="inlineStr"/>
      <c r="L50" s="8" t="inlineStr"/>
    </row>
  </sheetData>
  <mergeCells count="10">
    <mergeCell ref="A24:L24"/>
    <mergeCell ref="H4:H6"/>
    <mergeCell ref="A2:L2"/>
    <mergeCell ref="H26:H27"/>
    <mergeCell ref="H39:H42"/>
    <mergeCell ref="H15:H17"/>
    <mergeCell ref="A1:L1"/>
    <mergeCell ref="A37:L37"/>
    <mergeCell ref="A13:L13"/>
    <mergeCell ref="H28:H3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8"/>
  <sheetViews>
    <sheetView showGridLines="0" workbookViewId="0">
      <pane ySplit="1" topLeftCell="A2" activePane="bottomLeft" state="frozen"/>
      <selection pane="bottomLeft" activeCell="A1" sqref="A1"/>
    </sheetView>
  </sheetViews>
  <sheetFormatPr baseColWidth="8" defaultRowHeight="15"/>
  <cols>
    <col width="30" customWidth="1" min="1" max="1"/>
    <col width="6" customWidth="1" min="2" max="2"/>
    <col width="11" customWidth="1" min="3" max="3"/>
    <col width="8" customWidth="1" min="4" max="4"/>
    <col width="13" customWidth="1" min="5" max="5"/>
    <col width="11" customWidth="1" min="6" max="6"/>
    <col width="11" customWidth="1" min="7" max="7"/>
    <col width="52" customWidth="1" min="8" max="8"/>
    <col width="12" customWidth="1" min="9" max="9"/>
    <col width="11" customWidth="1" min="10" max="10"/>
    <col width="10" customWidth="1" min="11" max="11"/>
    <col width="42" customWidth="1" min="12" max="12"/>
  </cols>
  <sheetData>
    <row r="1" ht="26" customHeight="1">
      <c r="A1" s="18" t="inlineStr">
        <is>
          <t>FORGED 4-DAY POWERBUILDER  —  WEEK 8   |   BLOCK 2: STRENGTH EXPRESSION  •  DELOAD WEEK — recover, move fast, leave feeling fresh</t>
        </is>
      </c>
    </row>
    <row r="2" ht="20" customHeight="1">
      <c r="A2" s="10" t="inlineStr">
        <is>
          <t>TUESDAY — LOWER A: SQUAT STRENGTH + POSTERIOR CHAIN  (target: ≤85 min)</t>
        </is>
      </c>
    </row>
    <row r="3">
      <c r="A3" s="4" t="inlineStr">
        <is>
          <t>Exercise</t>
        </is>
      </c>
      <c r="B3" s="4" t="inlineStr">
        <is>
          <t>Set</t>
        </is>
      </c>
      <c r="C3" s="4" t="inlineStr">
        <is>
          <t>Target Reps</t>
        </is>
      </c>
      <c r="D3" s="4" t="inlineStr">
        <is>
          <t>%1RM</t>
        </is>
      </c>
      <c r="E3" s="4" t="inlineStr">
        <is>
          <t>Target Weight</t>
        </is>
      </c>
      <c r="F3" s="4" t="inlineStr">
        <is>
          <t>Target RPE</t>
        </is>
      </c>
      <c r="G3" s="4" t="inlineStr">
        <is>
          <t>Rest</t>
        </is>
      </c>
      <c r="H3" s="4" t="inlineStr">
        <is>
          <t>Coaching Cues / Special Instructions</t>
        </is>
      </c>
      <c r="I3" s="4" t="inlineStr">
        <is>
          <t>Actual Weight</t>
        </is>
      </c>
      <c r="J3" s="4" t="inlineStr">
        <is>
          <t>Actual Reps</t>
        </is>
      </c>
      <c r="K3" s="4" t="inlineStr">
        <is>
          <t>Actual RPE</t>
        </is>
      </c>
      <c r="L3" s="4" t="inlineStr">
        <is>
          <t>Set Notes (how it felt, bar speed, pump, tweaks)</t>
        </is>
      </c>
    </row>
    <row r="4">
      <c r="A4" s="19" t="inlineStr">
        <is>
          <t>Competition Squat</t>
        </is>
      </c>
      <c r="B4" s="20" t="inlineStr">
        <is>
          <t>1</t>
        </is>
      </c>
      <c r="C4" s="20" t="inlineStr">
        <is>
          <t>3</t>
        </is>
      </c>
      <c r="D4" s="20" t="inlineStr">
        <is>
          <t>65%</t>
        </is>
      </c>
      <c r="E4" s="20">
        <f>MROUND('Start Here'!$C$7*0.65,5)</f>
        <v/>
      </c>
      <c r="F4" s="20" t="inlineStr">
        <is>
          <t>≤6</t>
        </is>
      </c>
      <c r="G4" s="20" t="inlineStr">
        <is>
          <t>3-4 min</t>
        </is>
      </c>
      <c r="H4" s="21" t="inlineStr">
        <is>
          <t>Full comp setup every set: same walkout, same bracing. Big 360° breath, spread the floor, drive up through mid-foot. Treat every rep like a platform rep.  DELOAD — move fast, leave the gym feeling fresh.</t>
        </is>
      </c>
      <c r="I4" s="20" t="inlineStr"/>
      <c r="J4" s="20" t="inlineStr"/>
      <c r="K4" s="20" t="inlineStr"/>
      <c r="L4" s="21" t="inlineStr"/>
    </row>
    <row r="5">
      <c r="A5" s="19" t="inlineStr"/>
      <c r="B5" s="20" t="inlineStr">
        <is>
          <t>2</t>
        </is>
      </c>
      <c r="C5" s="20" t="inlineStr">
        <is>
          <t>3</t>
        </is>
      </c>
      <c r="D5" s="20" t="inlineStr">
        <is>
          <t>65%</t>
        </is>
      </c>
      <c r="E5" s="20">
        <f>MROUND('Start Here'!$C$7*0.65,5)</f>
        <v/>
      </c>
      <c r="F5" s="20" t="inlineStr">
        <is>
          <t>≤6</t>
        </is>
      </c>
      <c r="G5" s="20" t="inlineStr">
        <is>
          <t>3-4 min</t>
        </is>
      </c>
      <c r="H5" s="13" t="n"/>
      <c r="I5" s="20" t="inlineStr"/>
      <c r="J5" s="20" t="inlineStr"/>
      <c r="K5" s="20" t="inlineStr"/>
      <c r="L5" s="21" t="inlineStr"/>
    </row>
    <row r="6">
      <c r="A6" s="19" t="inlineStr"/>
      <c r="B6" s="20" t="inlineStr">
        <is>
          <t>3</t>
        </is>
      </c>
      <c r="C6" s="20" t="inlineStr">
        <is>
          <t>3</t>
        </is>
      </c>
      <c r="D6" s="20" t="inlineStr">
        <is>
          <t>65%</t>
        </is>
      </c>
      <c r="E6" s="20">
        <f>MROUND('Start Here'!$C$7*0.65,5)</f>
        <v/>
      </c>
      <c r="F6" s="20" t="inlineStr">
        <is>
          <t>≤6</t>
        </is>
      </c>
      <c r="G6" s="20" t="inlineStr">
        <is>
          <t>3-4 min</t>
        </is>
      </c>
      <c r="H6" s="14" t="n"/>
      <c r="I6" s="20" t="inlineStr"/>
      <c r="J6" s="20" t="inlineStr"/>
      <c r="K6" s="20" t="inlineStr"/>
      <c r="L6" s="21" t="inlineStr"/>
    </row>
    <row r="7" ht="42" customHeight="1">
      <c r="A7" s="19" t="inlineStr">
        <is>
          <t>Romanian Deadlift</t>
        </is>
      </c>
      <c r="B7" s="20" t="inlineStr">
        <is>
          <t>2</t>
        </is>
      </c>
      <c r="C7" s="20" t="inlineStr">
        <is>
          <t>8-10</t>
        </is>
      </c>
      <c r="D7" s="20" t="inlineStr">
        <is>
          <t>—</t>
        </is>
      </c>
      <c r="E7" s="20" t="inlineStr">
        <is>
          <t>Your pick</t>
        </is>
      </c>
      <c r="F7" s="20" t="inlineStr">
        <is>
          <t>6-7</t>
        </is>
      </c>
      <c r="G7" s="20" t="inlineStr">
        <is>
          <t>2-3 min</t>
        </is>
      </c>
      <c r="H7" s="21" t="inlineStr">
        <is>
          <t>DELOAD: 2 easy sets, stay 3-4 reps from failure. Soft knees, push hips back until hamstrings scream, bar drags the thighs. Start ~185-225 and add when all sets hit 10. Feel the stretch — that's the growth signal.</t>
        </is>
      </c>
      <c r="I7" s="20" t="inlineStr"/>
      <c r="J7" s="20" t="inlineStr"/>
      <c r="K7" s="20" t="inlineStr"/>
      <c r="L7" s="21" t="inlineStr"/>
    </row>
    <row r="8" ht="42" customHeight="1">
      <c r="A8" s="19" t="inlineStr">
        <is>
          <t>Leg Press (feet low &amp; narrow)</t>
        </is>
      </c>
      <c r="B8" s="20" t="inlineStr">
        <is>
          <t>2</t>
        </is>
      </c>
      <c r="C8" s="20" t="inlineStr">
        <is>
          <t>10-12</t>
        </is>
      </c>
      <c r="D8" s="20" t="inlineStr">
        <is>
          <t>—</t>
        </is>
      </c>
      <c r="E8" s="20" t="inlineStr">
        <is>
          <t>Your pick</t>
        </is>
      </c>
      <c r="F8" s="20" t="inlineStr">
        <is>
          <t>6-7</t>
        </is>
      </c>
      <c r="G8" s="20" t="inlineStr">
        <is>
          <t>2 min</t>
        </is>
      </c>
      <c r="H8" s="21" t="inlineStr">
        <is>
          <t>DELOAD: 2 easy sets, stay 3-4 reps from failure. Quad-bias stance. Full depth without butt tucking, 2-sec lowering. Drive knees over toes. Don't chase plates — chase the quad burn.</t>
        </is>
      </c>
      <c r="I8" s="20" t="inlineStr"/>
      <c r="J8" s="20" t="inlineStr"/>
      <c r="K8" s="20" t="inlineStr"/>
      <c r="L8" s="21" t="inlineStr"/>
    </row>
    <row r="9" ht="42" customHeight="1">
      <c r="A9" s="19" t="inlineStr">
        <is>
          <t>Seated Leg Curl</t>
        </is>
      </c>
      <c r="B9" s="20" t="inlineStr">
        <is>
          <t>2</t>
        </is>
      </c>
      <c r="C9" s="20" t="inlineStr">
        <is>
          <t>12-15</t>
        </is>
      </c>
      <c r="D9" s="20" t="inlineStr">
        <is>
          <t>—</t>
        </is>
      </c>
      <c r="E9" s="20" t="inlineStr">
        <is>
          <t>Your pick</t>
        </is>
      </c>
      <c r="F9" s="20" t="inlineStr">
        <is>
          <t>6-7</t>
        </is>
      </c>
      <c r="G9" s="20" t="inlineStr">
        <is>
          <t>90 sec</t>
        </is>
      </c>
      <c r="H9" s="21" t="inlineStr">
        <is>
          <t>DELOAD: 2 easy sets, stay 3-4 reps from failure. Lean torso forward slightly for a longer hamstring stretch. Squeeze 1 sec at full flexion, 3-sec lowering.</t>
        </is>
      </c>
      <c r="I9" s="20" t="inlineStr"/>
      <c r="J9" s="20" t="inlineStr"/>
      <c r="K9" s="20" t="inlineStr"/>
      <c r="L9" s="21" t="inlineStr"/>
    </row>
    <row r="10" ht="42" customHeight="1">
      <c r="A10" s="19" t="inlineStr">
        <is>
          <t>Standing Calf Raise</t>
        </is>
      </c>
      <c r="B10" s="20" t="inlineStr">
        <is>
          <t>2</t>
        </is>
      </c>
      <c r="C10" s="20" t="inlineStr">
        <is>
          <t>10-12</t>
        </is>
      </c>
      <c r="D10" s="20" t="inlineStr">
        <is>
          <t>—</t>
        </is>
      </c>
      <c r="E10" s="20" t="inlineStr">
        <is>
          <t>Your pick</t>
        </is>
      </c>
      <c r="F10" s="20" t="inlineStr">
        <is>
          <t>6-7</t>
        </is>
      </c>
      <c r="G10" s="20" t="inlineStr">
        <is>
          <t>90 sec</t>
        </is>
      </c>
      <c r="H10" s="21" t="inlineStr">
        <is>
          <t>DELOAD: 2 easy sets, stay 3-4 reps from failure. Full stretch at the bottom for a 2-count, drive through the big toe, pause at the top. No bouncing.</t>
        </is>
      </c>
      <c r="I10" s="20" t="inlineStr"/>
      <c r="J10" s="20" t="inlineStr"/>
      <c r="K10" s="20" t="inlineStr"/>
      <c r="L10" s="21" t="inlineStr"/>
    </row>
    <row r="11" ht="42" customHeight="1">
      <c r="A11" s="19" t="inlineStr">
        <is>
          <t>Cable Crunch</t>
        </is>
      </c>
      <c r="B11" s="20" t="inlineStr">
        <is>
          <t>2</t>
        </is>
      </c>
      <c r="C11" s="20" t="inlineStr">
        <is>
          <t>12-15</t>
        </is>
      </c>
      <c r="D11" s="20" t="inlineStr">
        <is>
          <t>—</t>
        </is>
      </c>
      <c r="E11" s="20" t="inlineStr">
        <is>
          <t>Your pick</t>
        </is>
      </c>
      <c r="F11" s="20" t="inlineStr">
        <is>
          <t>6-7</t>
        </is>
      </c>
      <c r="G11" s="20" t="inlineStr">
        <is>
          <t>60-90 sec</t>
        </is>
      </c>
      <c r="H11" s="21" t="inlineStr">
        <is>
          <t>DELOAD: 2 easy sets, stay 3-4 reps from failure. Flex the spine — ribs to hips, don't just bow at the waist. Strong abs = strong squat brace.</t>
        </is>
      </c>
      <c r="I11" s="20" t="inlineStr"/>
      <c r="J11" s="20" t="inlineStr"/>
      <c r="K11" s="20" t="inlineStr"/>
      <c r="L11" s="21" t="inlineStr"/>
    </row>
    <row r="13" ht="20" customHeight="1">
      <c r="A13" s="10" t="inlineStr">
        <is>
          <t>THURSDAY — UPPER A: BENCH STRENGTH + BACK  (target: ≤85 min)</t>
        </is>
      </c>
    </row>
    <row r="14">
      <c r="A14" s="4" t="inlineStr">
        <is>
          <t>Exercise</t>
        </is>
      </c>
      <c r="B14" s="4" t="inlineStr">
        <is>
          <t>Set</t>
        </is>
      </c>
      <c r="C14" s="4" t="inlineStr">
        <is>
          <t>Target Reps</t>
        </is>
      </c>
      <c r="D14" s="4" t="inlineStr">
        <is>
          <t>%1RM</t>
        </is>
      </c>
      <c r="E14" s="4" t="inlineStr">
        <is>
          <t>Target Weight</t>
        </is>
      </c>
      <c r="F14" s="4" t="inlineStr">
        <is>
          <t>Target RPE</t>
        </is>
      </c>
      <c r="G14" s="4" t="inlineStr">
        <is>
          <t>Rest</t>
        </is>
      </c>
      <c r="H14" s="4" t="inlineStr">
        <is>
          <t>Coaching Cues / Special Instructions</t>
        </is>
      </c>
      <c r="I14" s="4" t="inlineStr">
        <is>
          <t>Actual Weight</t>
        </is>
      </c>
      <c r="J14" s="4" t="inlineStr">
        <is>
          <t>Actual Reps</t>
        </is>
      </c>
      <c r="K14" s="4" t="inlineStr">
        <is>
          <t>Actual RPE</t>
        </is>
      </c>
      <c r="L14" s="4" t="inlineStr">
        <is>
          <t>Set Notes (how it felt, bar speed, pump, tweaks)</t>
        </is>
      </c>
    </row>
    <row r="15">
      <c r="A15" s="19" t="inlineStr">
        <is>
          <t>Competition Bench</t>
        </is>
      </c>
      <c r="B15" s="20" t="inlineStr">
        <is>
          <t>1</t>
        </is>
      </c>
      <c r="C15" s="20" t="inlineStr">
        <is>
          <t>3</t>
        </is>
      </c>
      <c r="D15" s="20" t="inlineStr">
        <is>
          <t>65%</t>
        </is>
      </c>
      <c r="E15" s="20">
        <f>MROUND('Start Here'!$C$8*0.65,5)</f>
        <v/>
      </c>
      <c r="F15" s="20" t="inlineStr">
        <is>
          <t>≤6</t>
        </is>
      </c>
      <c r="G15" s="20" t="inlineStr">
        <is>
          <t>3-4 min</t>
        </is>
      </c>
      <c r="H15" s="21" t="inlineStr">
        <is>
          <t>Comp pause on every rep this day. Set your arch, pull the bar apart, tuck elbows ~45°, press back over your face. Leg drive on.  DELOAD.</t>
        </is>
      </c>
      <c r="I15" s="20" t="inlineStr"/>
      <c r="J15" s="20" t="inlineStr"/>
      <c r="K15" s="20" t="inlineStr"/>
      <c r="L15" s="21" t="inlineStr"/>
    </row>
    <row r="16">
      <c r="A16" s="19" t="inlineStr"/>
      <c r="B16" s="20" t="inlineStr">
        <is>
          <t>2</t>
        </is>
      </c>
      <c r="C16" s="20" t="inlineStr">
        <is>
          <t>3</t>
        </is>
      </c>
      <c r="D16" s="20" t="inlineStr">
        <is>
          <t>65%</t>
        </is>
      </c>
      <c r="E16" s="20">
        <f>MROUND('Start Here'!$C$8*0.65,5)</f>
        <v/>
      </c>
      <c r="F16" s="20" t="inlineStr">
        <is>
          <t>≤6</t>
        </is>
      </c>
      <c r="G16" s="20" t="inlineStr">
        <is>
          <t>3-4 min</t>
        </is>
      </c>
      <c r="H16" s="13" t="n"/>
      <c r="I16" s="20" t="inlineStr"/>
      <c r="J16" s="20" t="inlineStr"/>
      <c r="K16" s="20" t="inlineStr"/>
      <c r="L16" s="21" t="inlineStr"/>
    </row>
    <row r="17">
      <c r="A17" s="19" t="inlineStr"/>
      <c r="B17" s="20" t="inlineStr">
        <is>
          <t>3</t>
        </is>
      </c>
      <c r="C17" s="20" t="inlineStr">
        <is>
          <t>3</t>
        </is>
      </c>
      <c r="D17" s="20" t="inlineStr">
        <is>
          <t>65%</t>
        </is>
      </c>
      <c r="E17" s="20">
        <f>MROUND('Start Here'!$C$8*0.65,5)</f>
        <v/>
      </c>
      <c r="F17" s="20" t="inlineStr">
        <is>
          <t>≤6</t>
        </is>
      </c>
      <c r="G17" s="20" t="inlineStr">
        <is>
          <t>3-4 min</t>
        </is>
      </c>
      <c r="H17" s="14" t="n"/>
      <c r="I17" s="20" t="inlineStr"/>
      <c r="J17" s="20" t="inlineStr"/>
      <c r="K17" s="20" t="inlineStr"/>
      <c r="L17" s="21" t="inlineStr"/>
    </row>
    <row r="18" ht="42" customHeight="1">
      <c r="A18" s="19" t="inlineStr">
        <is>
          <t>Weighted Pull-Up</t>
        </is>
      </c>
      <c r="B18" s="20" t="inlineStr">
        <is>
          <t>3</t>
        </is>
      </c>
      <c r="C18" s="20" t="inlineStr">
        <is>
          <t>6-8</t>
        </is>
      </c>
      <c r="D18" s="20" t="inlineStr">
        <is>
          <t>—</t>
        </is>
      </c>
      <c r="E18" s="20" t="inlineStr">
        <is>
          <t>Your pick</t>
        </is>
      </c>
      <c r="F18" s="20" t="inlineStr">
        <is>
          <t>6-7</t>
        </is>
      </c>
      <c r="G18" s="20" t="inlineStr">
        <is>
          <t>2-3 min</t>
        </is>
      </c>
      <c r="H18" s="21" t="inlineStr">
        <is>
          <t>DELOAD: 3 easy sets, stay 3-4 reps from failure. Add weight when you own 4x8 at bodyweight+. Dead hang start, drive elbows to hips, chest to bar. Lats build your bench arch and your V-taper.</t>
        </is>
      </c>
      <c r="I18" s="20" t="inlineStr"/>
      <c r="J18" s="20" t="inlineStr"/>
      <c r="K18" s="20" t="inlineStr"/>
      <c r="L18" s="21" t="inlineStr"/>
    </row>
    <row r="19" ht="42" customHeight="1">
      <c r="A19" s="19" t="inlineStr">
        <is>
          <t>Seated DB Shoulder Press</t>
        </is>
      </c>
      <c r="B19" s="20" t="inlineStr">
        <is>
          <t>2</t>
        </is>
      </c>
      <c r="C19" s="20" t="inlineStr">
        <is>
          <t>8-10</t>
        </is>
      </c>
      <c r="D19" s="20" t="inlineStr">
        <is>
          <t>—</t>
        </is>
      </c>
      <c r="E19" s="20" t="inlineStr">
        <is>
          <t>Your pick</t>
        </is>
      </c>
      <c r="F19" s="20" t="inlineStr">
        <is>
          <t>6-7</t>
        </is>
      </c>
      <c r="G19" s="20" t="inlineStr">
        <is>
          <t>2 min</t>
        </is>
      </c>
      <c r="H19" s="21" t="inlineStr">
        <is>
          <t>DELOAD: 2 easy sets, stay 3-4 reps from failure. Slight back support, press up-and-in, stop just short of lockout to keep tension on delts. Start ~55-65s.</t>
        </is>
      </c>
      <c r="I19" s="20" t="inlineStr"/>
      <c r="J19" s="20" t="inlineStr"/>
      <c r="K19" s="20" t="inlineStr"/>
      <c r="L19" s="21" t="inlineStr"/>
    </row>
    <row r="20" ht="42" customHeight="1">
      <c r="A20" s="19" t="inlineStr">
        <is>
          <t>Chest-Supported Row</t>
        </is>
      </c>
      <c r="B20" s="20" t="inlineStr">
        <is>
          <t>2</t>
        </is>
      </c>
      <c r="C20" s="20" t="inlineStr">
        <is>
          <t>10-12</t>
        </is>
      </c>
      <c r="D20" s="20" t="inlineStr">
        <is>
          <t>—</t>
        </is>
      </c>
      <c r="E20" s="20" t="inlineStr">
        <is>
          <t>Your pick</t>
        </is>
      </c>
      <c r="F20" s="20" t="inlineStr">
        <is>
          <t>6-7</t>
        </is>
      </c>
      <c r="G20" s="20" t="inlineStr">
        <is>
          <t>90 sec</t>
        </is>
      </c>
      <c r="H20" s="21" t="inlineStr">
        <is>
          <t>DELOAD: 2 easy sets, stay 3-4 reps from failure. Chest glued to pad — no cheating with body English. Pull to lower ribs, squeeze the shoulder blades for 1 sec.</t>
        </is>
      </c>
      <c r="I20" s="20" t="inlineStr"/>
      <c r="J20" s="20" t="inlineStr"/>
      <c r="K20" s="20" t="inlineStr"/>
      <c r="L20" s="21" t="inlineStr"/>
    </row>
    <row r="21" ht="42" customHeight="1">
      <c r="A21" s="19" t="inlineStr">
        <is>
          <t>SUPERSET: EZ-Bar Curl + Overhead Cable Extension</t>
        </is>
      </c>
      <c r="B21" s="20" t="inlineStr">
        <is>
          <t>2</t>
        </is>
      </c>
      <c r="C21" s="20" t="inlineStr">
        <is>
          <t>10-12 each</t>
        </is>
      </c>
      <c r="D21" s="20" t="inlineStr">
        <is>
          <t>—</t>
        </is>
      </c>
      <c r="E21" s="20" t="inlineStr">
        <is>
          <t>Your pick</t>
        </is>
      </c>
      <c r="F21" s="20" t="inlineStr">
        <is>
          <t>6-7</t>
        </is>
      </c>
      <c r="G21" s="20" t="inlineStr">
        <is>
          <t>90 sec after pair</t>
        </is>
      </c>
      <c r="H21" s="21" t="inlineStr">
        <is>
          <t>DELOAD: 2 easy sets, stay 3-4 reps from failure. Curls: elbows pinned, no swing. Overhead extensions: full stretch behind head — long-head triceps grow from the stretch. Alternate exercises, rest after both.</t>
        </is>
      </c>
      <c r="I21" s="20" t="inlineStr"/>
      <c r="J21" s="20" t="inlineStr"/>
      <c r="K21" s="20" t="inlineStr"/>
      <c r="L21" s="21" t="inlineStr"/>
    </row>
    <row r="22" ht="42" customHeight="1">
      <c r="A22" s="19" t="inlineStr">
        <is>
          <t>Face Pull</t>
        </is>
      </c>
      <c r="B22" s="20" t="inlineStr">
        <is>
          <t>2</t>
        </is>
      </c>
      <c r="C22" s="20" t="inlineStr">
        <is>
          <t>15-20</t>
        </is>
      </c>
      <c r="D22" s="20" t="inlineStr">
        <is>
          <t>—</t>
        </is>
      </c>
      <c r="E22" s="20" t="inlineStr">
        <is>
          <t>Your pick</t>
        </is>
      </c>
      <c r="F22" s="20" t="inlineStr">
        <is>
          <t>6-7</t>
        </is>
      </c>
      <c r="G22" s="20" t="inlineStr">
        <is>
          <t>60 sec</t>
        </is>
      </c>
      <c r="H22" s="21" t="inlineStr">
        <is>
          <t>DELOAD: 2 easy sets, stay 3-4 reps from failure. Rope to forehead, thumbs back, external rotate at the end. Shoulder insurance — never skip these.</t>
        </is>
      </c>
      <c r="I22" s="20" t="inlineStr"/>
      <c r="J22" s="20" t="inlineStr"/>
      <c r="K22" s="20" t="inlineStr"/>
      <c r="L22" s="21" t="inlineStr"/>
    </row>
    <row r="24" ht="20" customHeight="1">
      <c r="A24" s="10" t="inlineStr">
        <is>
          <t>SATURDAY — LOWER B: DEADLIFT + ATHLETIC LOWER  (long session — take your time)</t>
        </is>
      </c>
    </row>
    <row r="25">
      <c r="A25" s="4" t="inlineStr">
        <is>
          <t>Exercise</t>
        </is>
      </c>
      <c r="B25" s="4" t="inlineStr">
        <is>
          <t>Set</t>
        </is>
      </c>
      <c r="C25" s="4" t="inlineStr">
        <is>
          <t>Target Reps</t>
        </is>
      </c>
      <c r="D25" s="4" t="inlineStr">
        <is>
          <t>%1RM</t>
        </is>
      </c>
      <c r="E25" s="4" t="inlineStr">
        <is>
          <t>Target Weight</t>
        </is>
      </c>
      <c r="F25" s="4" t="inlineStr">
        <is>
          <t>Target RPE</t>
        </is>
      </c>
      <c r="G25" s="4" t="inlineStr">
        <is>
          <t>Rest</t>
        </is>
      </c>
      <c r="H25" s="4" t="inlineStr">
        <is>
          <t>Coaching Cues / Special Instructions</t>
        </is>
      </c>
      <c r="I25" s="4" t="inlineStr">
        <is>
          <t>Actual Weight</t>
        </is>
      </c>
      <c r="J25" s="4" t="inlineStr">
        <is>
          <t>Actual Reps</t>
        </is>
      </c>
      <c r="K25" s="4" t="inlineStr">
        <is>
          <t>Actual RPE</t>
        </is>
      </c>
      <c r="L25" s="4" t="inlineStr">
        <is>
          <t>Set Notes (how it felt, bar speed, pump, tweaks)</t>
        </is>
      </c>
    </row>
    <row r="26">
      <c r="A26" s="19" t="inlineStr">
        <is>
          <t>Deadlift</t>
        </is>
      </c>
      <c r="B26" s="20" t="inlineStr">
        <is>
          <t>1</t>
        </is>
      </c>
      <c r="C26" s="20" t="inlineStr">
        <is>
          <t>3</t>
        </is>
      </c>
      <c r="D26" s="20" t="inlineStr">
        <is>
          <t>65%</t>
        </is>
      </c>
      <c r="E26" s="20">
        <f>MROUND('Start Here'!$C$9*0.65,5)</f>
        <v/>
      </c>
      <c r="F26" s="20" t="inlineStr">
        <is>
          <t>≤6</t>
        </is>
      </c>
      <c r="G26" s="20" t="inlineStr">
        <is>
          <t>3-4 min</t>
        </is>
      </c>
      <c r="H26" s="21" t="inlineStr">
        <is>
          <t>Wedge hard, pull the slack out until the bar clicks, push the floor away. Hips and shoulders rise together. Reset every rep — no touch-and-go here.  DELOAD.</t>
        </is>
      </c>
      <c r="I26" s="20" t="inlineStr"/>
      <c r="J26" s="20" t="inlineStr"/>
      <c r="K26" s="20" t="inlineStr"/>
      <c r="L26" s="21" t="inlineStr"/>
    </row>
    <row r="27">
      <c r="A27" s="19" t="inlineStr"/>
      <c r="B27" s="20" t="inlineStr">
        <is>
          <t>2</t>
        </is>
      </c>
      <c r="C27" s="20" t="inlineStr">
        <is>
          <t>3</t>
        </is>
      </c>
      <c r="D27" s="20" t="inlineStr">
        <is>
          <t>65%</t>
        </is>
      </c>
      <c r="E27" s="20">
        <f>MROUND('Start Here'!$C$9*0.65,5)</f>
        <v/>
      </c>
      <c r="F27" s="20" t="inlineStr">
        <is>
          <t>≤6</t>
        </is>
      </c>
      <c r="G27" s="20" t="inlineStr">
        <is>
          <t>3-4 min</t>
        </is>
      </c>
      <c r="H27" s="14" t="n"/>
      <c r="I27" s="20" t="inlineStr"/>
      <c r="J27" s="20" t="inlineStr"/>
      <c r="K27" s="20" t="inlineStr"/>
      <c r="L27" s="21" t="inlineStr"/>
    </row>
    <row r="28">
      <c r="A28" s="19" t="inlineStr">
        <is>
          <t>Paused Squat (2-ct)</t>
        </is>
      </c>
      <c r="B28" s="20" t="inlineStr">
        <is>
          <t>1</t>
        </is>
      </c>
      <c r="C28" s="20" t="inlineStr">
        <is>
          <t>3</t>
        </is>
      </c>
      <c r="D28" s="20" t="inlineStr">
        <is>
          <t>57.5%</t>
        </is>
      </c>
      <c r="E28" s="20">
        <f>MROUND('Start Here'!$C$7*0.575,5)</f>
        <v/>
      </c>
      <c r="F28" s="20" t="inlineStr">
        <is>
          <t>≤6</t>
        </is>
      </c>
      <c r="G28" s="20" t="inlineStr">
        <is>
          <t>3-4 min</t>
        </is>
      </c>
      <c r="H28" s="21" t="inlineStr">
        <is>
          <t>2-second dead-stop in the hole, stay braced and upright, no bounce. Builds bottom-position strength and quad size. Own the pause — don't rush it.</t>
        </is>
      </c>
      <c r="I28" s="20" t="inlineStr"/>
      <c r="J28" s="20" t="inlineStr"/>
      <c r="K28" s="20" t="inlineStr"/>
      <c r="L28" s="21" t="inlineStr"/>
    </row>
    <row r="29">
      <c r="A29" s="19" t="inlineStr"/>
      <c r="B29" s="20" t="inlineStr">
        <is>
          <t>2</t>
        </is>
      </c>
      <c r="C29" s="20" t="inlineStr">
        <is>
          <t>3</t>
        </is>
      </c>
      <c r="D29" s="20" t="inlineStr">
        <is>
          <t>57.5%</t>
        </is>
      </c>
      <c r="E29" s="20">
        <f>MROUND('Start Here'!$C$7*0.575,5)</f>
        <v/>
      </c>
      <c r="F29" s="20" t="inlineStr">
        <is>
          <t>≤6</t>
        </is>
      </c>
      <c r="G29" s="20" t="inlineStr">
        <is>
          <t>3-4 min</t>
        </is>
      </c>
      <c r="H29" s="14" t="n"/>
      <c r="I29" s="20" t="inlineStr"/>
      <c r="J29" s="20" t="inlineStr"/>
      <c r="K29" s="20" t="inlineStr"/>
      <c r="L29" s="21" t="inlineStr"/>
    </row>
    <row r="30" ht="42" customHeight="1">
      <c r="A30" s="19" t="inlineStr">
        <is>
          <t>Bulgarian Split Squat</t>
        </is>
      </c>
      <c r="B30" s="20" t="inlineStr">
        <is>
          <t>2</t>
        </is>
      </c>
      <c r="C30" s="20" t="inlineStr">
        <is>
          <t>8-10 /leg</t>
        </is>
      </c>
      <c r="D30" s="20" t="inlineStr">
        <is>
          <t>—</t>
        </is>
      </c>
      <c r="E30" s="20" t="inlineStr">
        <is>
          <t>Your pick</t>
        </is>
      </c>
      <c r="F30" s="20" t="inlineStr">
        <is>
          <t>6-7</t>
        </is>
      </c>
      <c r="G30" s="20" t="inlineStr">
        <is>
          <t>2 min</t>
        </is>
      </c>
      <c r="H30" s="21" t="inlineStr">
        <is>
          <t>DELOAD: 2 easy sets, stay 3-4 reps from failure. Rear foot elevated, slight forward lean for glutes, upright for quads — pick your target. This is your athleticism builder: balance, single-leg strength, hip stability. Start with 40-50 lb DBs.</t>
        </is>
      </c>
      <c r="I30" s="20" t="inlineStr"/>
      <c r="J30" s="20" t="inlineStr"/>
      <c r="K30" s="20" t="inlineStr"/>
      <c r="L30" s="21" t="inlineStr"/>
    </row>
    <row r="31" ht="42" customHeight="1">
      <c r="A31" s="19" t="inlineStr">
        <is>
          <t>Back Extension (glute bias)</t>
        </is>
      </c>
      <c r="B31" s="20" t="inlineStr">
        <is>
          <t>2</t>
        </is>
      </c>
      <c r="C31" s="20" t="inlineStr">
        <is>
          <t>12-15</t>
        </is>
      </c>
      <c r="D31" s="20" t="inlineStr">
        <is>
          <t>—</t>
        </is>
      </c>
      <c r="E31" s="20" t="inlineStr">
        <is>
          <t>Your pick</t>
        </is>
      </c>
      <c r="F31" s="20" t="inlineStr">
        <is>
          <t>6-7</t>
        </is>
      </c>
      <c r="G31" s="20" t="inlineStr">
        <is>
          <t>90 sec</t>
        </is>
      </c>
      <c r="H31" s="21" t="inlineStr">
        <is>
          <t>DELOAD: 2 easy sets, stay 3-4 reps from failure. Round upper back slightly, tuck chin, squeeze glutes to lift — don't hyperextend the spine. Hold a plate when 15 gets easy.</t>
        </is>
      </c>
      <c r="I31" s="20" t="inlineStr"/>
      <c r="J31" s="20" t="inlineStr"/>
      <c r="K31" s="20" t="inlineStr"/>
      <c r="L31" s="21" t="inlineStr"/>
    </row>
    <row r="32" ht="42" customHeight="1">
      <c r="A32" s="19" t="inlineStr">
        <is>
          <t>Walking DB Lunge</t>
        </is>
      </c>
      <c r="B32" s="20" t="inlineStr">
        <is>
          <t>2</t>
        </is>
      </c>
      <c r="C32" s="20" t="inlineStr">
        <is>
          <t>20 steps</t>
        </is>
      </c>
      <c r="D32" s="20" t="inlineStr">
        <is>
          <t>—</t>
        </is>
      </c>
      <c r="E32" s="20" t="inlineStr">
        <is>
          <t>Your pick</t>
        </is>
      </c>
      <c r="F32" s="20" t="inlineStr">
        <is>
          <t>6-7</t>
        </is>
      </c>
      <c r="G32" s="20" t="inlineStr">
        <is>
          <t>2 min</t>
        </is>
      </c>
      <c r="H32" s="21" t="inlineStr">
        <is>
          <t>DELOAD: 2 easy sets, stay 3-4 reps from failure. Long strides, soft knee touch, continuous walking. Brutal and athletic. Light DBs are plenty after everything else.</t>
        </is>
      </c>
      <c r="I32" s="20" t="inlineStr"/>
      <c r="J32" s="20" t="inlineStr"/>
      <c r="K32" s="20" t="inlineStr"/>
      <c r="L32" s="21" t="inlineStr"/>
    </row>
    <row r="33" ht="42" customHeight="1">
      <c r="A33" s="19" t="inlineStr">
        <is>
          <t>Seated Calf Raise</t>
        </is>
      </c>
      <c r="B33" s="20" t="inlineStr">
        <is>
          <t>3</t>
        </is>
      </c>
      <c r="C33" s="20" t="inlineStr">
        <is>
          <t>12-15</t>
        </is>
      </c>
      <c r="D33" s="20" t="inlineStr">
        <is>
          <t>—</t>
        </is>
      </c>
      <c r="E33" s="20" t="inlineStr">
        <is>
          <t>Your pick</t>
        </is>
      </c>
      <c r="F33" s="20" t="inlineStr">
        <is>
          <t>6-7</t>
        </is>
      </c>
      <c r="G33" s="20" t="inlineStr">
        <is>
          <t>60-90 sec</t>
        </is>
      </c>
      <c r="H33" s="21" t="inlineStr">
        <is>
          <t>DELOAD: 3 easy sets, stay 3-4 reps from failure. Soleus focus. Slow 3-sec negative, deep stretch, pause at top.</t>
        </is>
      </c>
      <c r="I33" s="20" t="inlineStr"/>
      <c r="J33" s="20" t="inlineStr"/>
      <c r="K33" s="20" t="inlineStr"/>
      <c r="L33" s="21" t="inlineStr"/>
    </row>
    <row r="34" ht="42" customHeight="1">
      <c r="A34" s="19" t="inlineStr">
        <is>
          <t>Hanging Leg Raise</t>
        </is>
      </c>
      <c r="B34" s="20" t="inlineStr">
        <is>
          <t>2</t>
        </is>
      </c>
      <c r="C34" s="20" t="inlineStr">
        <is>
          <t>10-15</t>
        </is>
      </c>
      <c r="D34" s="20" t="inlineStr">
        <is>
          <t>—</t>
        </is>
      </c>
      <c r="E34" s="20" t="inlineStr">
        <is>
          <t>Your pick</t>
        </is>
      </c>
      <c r="F34" s="20" t="inlineStr">
        <is>
          <t>6-7</t>
        </is>
      </c>
      <c r="G34" s="20" t="inlineStr">
        <is>
          <t>90 sec</t>
        </is>
      </c>
      <c r="H34" s="21" t="inlineStr">
        <is>
          <t>DELOAD: 2 easy sets, stay 3-4 reps from failure. Posterior pelvic tilt at the top — curl the pelvis up, don't just swing the legs. Bend knees if needed.</t>
        </is>
      </c>
      <c r="I34" s="20" t="inlineStr"/>
      <c r="J34" s="20" t="inlineStr"/>
      <c r="K34" s="20" t="inlineStr"/>
      <c r="L34" s="21" t="inlineStr"/>
    </row>
    <row r="36" ht="20" customHeight="1">
      <c r="A36" s="10" t="inlineStr">
        <is>
          <t>SUNDAY — UPPER B: VOLUME BENCH + PUMP DAY  (long session — chase the pump)</t>
        </is>
      </c>
    </row>
    <row r="37">
      <c r="A37" s="4" t="inlineStr">
        <is>
          <t>Exercise</t>
        </is>
      </c>
      <c r="B37" s="4" t="inlineStr">
        <is>
          <t>Set</t>
        </is>
      </c>
      <c r="C37" s="4" t="inlineStr">
        <is>
          <t>Target Reps</t>
        </is>
      </c>
      <c r="D37" s="4" t="inlineStr">
        <is>
          <t>%1RM</t>
        </is>
      </c>
      <c r="E37" s="4" t="inlineStr">
        <is>
          <t>Target Weight</t>
        </is>
      </c>
      <c r="F37" s="4" t="inlineStr">
        <is>
          <t>Target RPE</t>
        </is>
      </c>
      <c r="G37" s="4" t="inlineStr">
        <is>
          <t>Rest</t>
        </is>
      </c>
      <c r="H37" s="4" t="inlineStr">
        <is>
          <t>Coaching Cues / Special Instructions</t>
        </is>
      </c>
      <c r="I37" s="4" t="inlineStr">
        <is>
          <t>Actual Weight</t>
        </is>
      </c>
      <c r="J37" s="4" t="inlineStr">
        <is>
          <t>Actual Reps</t>
        </is>
      </c>
      <c r="K37" s="4" t="inlineStr">
        <is>
          <t>Actual RPE</t>
        </is>
      </c>
      <c r="L37" s="4" t="inlineStr">
        <is>
          <t>Set Notes (how it felt, bar speed, pump, tweaks)</t>
        </is>
      </c>
    </row>
    <row r="38">
      <c r="A38" s="19" t="inlineStr">
        <is>
          <t>Touch-and-Go Bench</t>
        </is>
      </c>
      <c r="B38" s="20" t="inlineStr">
        <is>
          <t>1</t>
        </is>
      </c>
      <c r="C38" s="20" t="inlineStr">
        <is>
          <t>8</t>
        </is>
      </c>
      <c r="D38" s="20" t="inlineStr">
        <is>
          <t>55%</t>
        </is>
      </c>
      <c r="E38" s="20">
        <f>MROUND('Start Here'!$C$8*0.55,5)</f>
        <v/>
      </c>
      <c r="F38" s="20" t="inlineStr">
        <is>
          <t>≤6</t>
        </is>
      </c>
      <c r="G38" s="20" t="inlineStr">
        <is>
          <t>3-4 min</t>
        </is>
      </c>
      <c r="H38" s="21" t="inlineStr">
        <is>
          <t>Smooth touch, no bounce off the chest. Slight tuck, squeeze pecs hard at lockout each rep. This is a muscle set, not a strength test — chase the pec pump.</t>
        </is>
      </c>
      <c r="I38" s="20" t="inlineStr"/>
      <c r="J38" s="20" t="inlineStr"/>
      <c r="K38" s="20" t="inlineStr"/>
      <c r="L38" s="21" t="inlineStr"/>
    </row>
    <row r="39">
      <c r="A39" s="19" t="inlineStr"/>
      <c r="B39" s="20" t="inlineStr">
        <is>
          <t>2</t>
        </is>
      </c>
      <c r="C39" s="20" t="inlineStr">
        <is>
          <t>8</t>
        </is>
      </c>
      <c r="D39" s="20" t="inlineStr">
        <is>
          <t>55%</t>
        </is>
      </c>
      <c r="E39" s="20">
        <f>MROUND('Start Here'!$C$8*0.55,5)</f>
        <v/>
      </c>
      <c r="F39" s="20" t="inlineStr">
        <is>
          <t>≤6</t>
        </is>
      </c>
      <c r="G39" s="20" t="inlineStr">
        <is>
          <t>3-4 min</t>
        </is>
      </c>
      <c r="H39" s="13" t="n"/>
      <c r="I39" s="20" t="inlineStr"/>
      <c r="J39" s="20" t="inlineStr"/>
      <c r="K39" s="20" t="inlineStr"/>
      <c r="L39" s="21" t="inlineStr"/>
    </row>
    <row r="40">
      <c r="A40" s="19" t="inlineStr"/>
      <c r="B40" s="20" t="inlineStr">
        <is>
          <t>3</t>
        </is>
      </c>
      <c r="C40" s="20" t="inlineStr">
        <is>
          <t>8</t>
        </is>
      </c>
      <c r="D40" s="20" t="inlineStr">
        <is>
          <t>55%</t>
        </is>
      </c>
      <c r="E40" s="20">
        <f>MROUND('Start Here'!$C$8*0.55,5)</f>
        <v/>
      </c>
      <c r="F40" s="20" t="inlineStr">
        <is>
          <t>≤6</t>
        </is>
      </c>
      <c r="G40" s="20" t="inlineStr">
        <is>
          <t>3-4 min</t>
        </is>
      </c>
      <c r="H40" s="14" t="n"/>
      <c r="I40" s="20" t="inlineStr"/>
      <c r="J40" s="20" t="inlineStr"/>
      <c r="K40" s="20" t="inlineStr"/>
      <c r="L40" s="21" t="inlineStr"/>
    </row>
    <row r="41" ht="42" customHeight="1">
      <c r="A41" s="19" t="inlineStr">
        <is>
          <t>Incline DB Press (30°)</t>
        </is>
      </c>
      <c r="B41" s="20" t="inlineStr">
        <is>
          <t>2</t>
        </is>
      </c>
      <c r="C41" s="20" t="inlineStr">
        <is>
          <t>10-12</t>
        </is>
      </c>
      <c r="D41" s="20" t="inlineStr">
        <is>
          <t>—</t>
        </is>
      </c>
      <c r="E41" s="20" t="inlineStr">
        <is>
          <t>Your pick</t>
        </is>
      </c>
      <c r="F41" s="20" t="inlineStr">
        <is>
          <t>6-7</t>
        </is>
      </c>
      <c r="G41" s="20" t="inlineStr">
        <is>
          <t>2 min</t>
        </is>
      </c>
      <c r="H41" s="21" t="inlineStr">
        <is>
          <t>DELOAD: 2 easy sets, stay 3-4 reps from failure. Deep stretch at the bottom, press up-and-in, squeeze upper pecs at top. Don't touch the DBs together hard — keep tension. Start ~75-85s.</t>
        </is>
      </c>
      <c r="I41" s="20" t="inlineStr"/>
      <c r="J41" s="20" t="inlineStr"/>
      <c r="K41" s="20" t="inlineStr"/>
      <c r="L41" s="21" t="inlineStr"/>
    </row>
    <row r="42" ht="42" customHeight="1">
      <c r="A42" s="19" t="inlineStr">
        <is>
          <t>Lat Pulldown (neutral wide)</t>
        </is>
      </c>
      <c r="B42" s="20" t="inlineStr">
        <is>
          <t>3</t>
        </is>
      </c>
      <c r="C42" s="20" t="inlineStr">
        <is>
          <t>10-12</t>
        </is>
      </c>
      <c r="D42" s="20" t="inlineStr">
        <is>
          <t>—</t>
        </is>
      </c>
      <c r="E42" s="20" t="inlineStr">
        <is>
          <t>Your pick</t>
        </is>
      </c>
      <c r="F42" s="20" t="inlineStr">
        <is>
          <t>6-7</t>
        </is>
      </c>
      <c r="G42" s="20" t="inlineStr">
        <is>
          <t>90 sec</t>
        </is>
      </c>
      <c r="H42" s="21" t="inlineStr">
        <is>
          <t>DELOAD: 3 easy sets, stay 3-4 reps from failure. Drive elbows down and back, pause 1 sec at the chest, 3-sec controlled return. Think 'elbows in back pockets' — feel the lats, not the arms.</t>
        </is>
      </c>
      <c r="I42" s="20" t="inlineStr"/>
      <c r="J42" s="20" t="inlineStr"/>
      <c r="K42" s="20" t="inlineStr"/>
      <c r="L42" s="21" t="inlineStr"/>
    </row>
    <row r="43" ht="42" customHeight="1">
      <c r="A43" s="19" t="inlineStr">
        <is>
          <t>Single-Arm Cable Row</t>
        </is>
      </c>
      <c r="B43" s="20" t="inlineStr">
        <is>
          <t>2</t>
        </is>
      </c>
      <c r="C43" s="20" t="inlineStr">
        <is>
          <t>10-12 /arm</t>
        </is>
      </c>
      <c r="D43" s="20" t="inlineStr">
        <is>
          <t>—</t>
        </is>
      </c>
      <c r="E43" s="20" t="inlineStr">
        <is>
          <t>Your pick</t>
        </is>
      </c>
      <c r="F43" s="20" t="inlineStr">
        <is>
          <t>6-7</t>
        </is>
      </c>
      <c r="G43" s="20" t="inlineStr">
        <is>
          <t>90 sec</t>
        </is>
      </c>
      <c r="H43" s="21" t="inlineStr">
        <is>
          <t>DELOAD: 2 easy sets, stay 3-4 reps from failure. Allow a full stretch and slight rotation forward, then row and squeeze. One side at a time = maximum mind-muscle connection.</t>
        </is>
      </c>
      <c r="I43" s="20" t="inlineStr"/>
      <c r="J43" s="20" t="inlineStr"/>
      <c r="K43" s="20" t="inlineStr"/>
      <c r="L43" s="21" t="inlineStr"/>
    </row>
    <row r="44" ht="42" customHeight="1">
      <c r="A44" s="19" t="inlineStr">
        <is>
          <t>DB Lateral Raise</t>
        </is>
      </c>
      <c r="B44" s="20" t="inlineStr">
        <is>
          <t>3</t>
        </is>
      </c>
      <c r="C44" s="20" t="inlineStr">
        <is>
          <t>12-15</t>
        </is>
      </c>
      <c r="D44" s="20" t="inlineStr">
        <is>
          <t>—</t>
        </is>
      </c>
      <c r="E44" s="20" t="inlineStr">
        <is>
          <t>Your pick</t>
        </is>
      </c>
      <c r="F44" s="20" t="inlineStr">
        <is>
          <t>6-7</t>
        </is>
      </c>
      <c r="G44" s="20" t="inlineStr">
        <is>
          <t>60-75 sec</t>
        </is>
      </c>
      <c r="H44" s="21" t="inlineStr">
        <is>
          <t>DELOAD: 3 easy sets, stay 3-4 reps from failure. Lead with the elbows, tilt pinkies slightly up, stop at shoulder height. Weeks 3 &amp; 7: drop-set the last set (drop ~40%, rep to near-failure). Side delts make you look athletic in a t-shirt.</t>
        </is>
      </c>
      <c r="I44" s="20" t="inlineStr"/>
      <c r="J44" s="20" t="inlineStr"/>
      <c r="K44" s="20" t="inlineStr"/>
      <c r="L44" s="21" t="inlineStr"/>
    </row>
    <row r="45" ht="42" customHeight="1">
      <c r="A45" s="19" t="inlineStr">
        <is>
          <t>Cable Fly (low-to-high or pec deck)</t>
        </is>
      </c>
      <c r="B45" s="20" t="inlineStr">
        <is>
          <t>2</t>
        </is>
      </c>
      <c r="C45" s="20" t="inlineStr">
        <is>
          <t>12-15</t>
        </is>
      </c>
      <c r="D45" s="20" t="inlineStr">
        <is>
          <t>—</t>
        </is>
      </c>
      <c r="E45" s="20" t="inlineStr">
        <is>
          <t>Your pick</t>
        </is>
      </c>
      <c r="F45" s="20" t="inlineStr">
        <is>
          <t>6-7</t>
        </is>
      </c>
      <c r="G45" s="20" t="inlineStr">
        <is>
          <t>60-90 sec</t>
        </is>
      </c>
      <c r="H45" s="21" t="inlineStr">
        <is>
          <t>DELOAD: 2 easy sets, stay 3-4 reps from failure. Big stretch, hug a barrel, squeeze pecs together for a 1-count. Pure pump work — moderate weight, perfect reps.</t>
        </is>
      </c>
      <c r="I45" s="20" t="inlineStr"/>
      <c r="J45" s="20" t="inlineStr"/>
      <c r="K45" s="20" t="inlineStr"/>
      <c r="L45" s="21" t="inlineStr"/>
    </row>
    <row r="46" ht="42" customHeight="1">
      <c r="A46" s="19" t="inlineStr">
        <is>
          <t>SUPERSET: Incline DB Curl + Lying DB Skullcrusher</t>
        </is>
      </c>
      <c r="B46" s="20" t="inlineStr">
        <is>
          <t>2</t>
        </is>
      </c>
      <c r="C46" s="20" t="inlineStr">
        <is>
          <t>10-12 each</t>
        </is>
      </c>
      <c r="D46" s="20" t="inlineStr">
        <is>
          <t>—</t>
        </is>
      </c>
      <c r="E46" s="20" t="inlineStr">
        <is>
          <t>Your pick</t>
        </is>
      </c>
      <c r="F46" s="20" t="inlineStr">
        <is>
          <t>6-7</t>
        </is>
      </c>
      <c r="G46" s="20" t="inlineStr">
        <is>
          <t>90 sec after pair</t>
        </is>
      </c>
      <c r="H46" s="21" t="inlineStr">
        <is>
          <t>DELOAD: 2 easy sets, stay 3-4 reps from failure. Incline curls: full stretch at the bottom, biceps long-head heaven. Skullcrushers: lower behind the head slightly for more stretch.</t>
        </is>
      </c>
      <c r="I46" s="20" t="inlineStr"/>
      <c r="J46" s="20" t="inlineStr"/>
      <c r="K46" s="20" t="inlineStr"/>
      <c r="L46" s="21" t="inlineStr"/>
    </row>
    <row r="47" ht="42" customHeight="1">
      <c r="A47" s="19" t="inlineStr">
        <is>
          <t>SUPERSET: Hammer Curl + Rope Pressdown</t>
        </is>
      </c>
      <c r="B47" s="20" t="inlineStr">
        <is>
          <t>2</t>
        </is>
      </c>
      <c r="C47" s="20" t="inlineStr">
        <is>
          <t>12-15 each</t>
        </is>
      </c>
      <c r="D47" s="20" t="inlineStr">
        <is>
          <t>—</t>
        </is>
      </c>
      <c r="E47" s="20" t="inlineStr">
        <is>
          <t>Your pick</t>
        </is>
      </c>
      <c r="F47" s="20" t="inlineStr">
        <is>
          <t>6-7</t>
        </is>
      </c>
      <c r="G47" s="20" t="inlineStr">
        <is>
          <t>60 sec after pair</t>
        </is>
      </c>
      <c r="H47" s="21" t="inlineStr">
        <is>
          <t>DELOAD: 2 easy sets, stay 3-4 reps from failure. Finisher — chase the arm pump. Strict form, short rests, walk out with sleeves tight.</t>
        </is>
      </c>
      <c r="I47" s="20" t="inlineStr"/>
      <c r="J47" s="20" t="inlineStr"/>
      <c r="K47" s="20" t="inlineStr"/>
      <c r="L47" s="21" t="inlineStr"/>
    </row>
    <row r="48" ht="42" customHeight="1">
      <c r="A48" s="19" t="inlineStr">
        <is>
          <t>Reverse Pec Deck (rear delts)</t>
        </is>
      </c>
      <c r="B48" s="20" t="inlineStr">
        <is>
          <t>2</t>
        </is>
      </c>
      <c r="C48" s="20" t="inlineStr">
        <is>
          <t>15-20</t>
        </is>
      </c>
      <c r="D48" s="20" t="inlineStr">
        <is>
          <t>—</t>
        </is>
      </c>
      <c r="E48" s="20" t="inlineStr">
        <is>
          <t>Your pick</t>
        </is>
      </c>
      <c r="F48" s="20" t="inlineStr">
        <is>
          <t>6-7</t>
        </is>
      </c>
      <c r="G48" s="20" t="inlineStr">
        <is>
          <t>60 sec</t>
        </is>
      </c>
      <c r="H48" s="21" t="inlineStr">
        <is>
          <t>DELOAD: 2 easy sets, stay 3-4 reps from failure. Lead with elbows out, don't squeeze shoulder blades — keep it in the rear delts. Posture, shoulder health, 3-D delts.</t>
        </is>
      </c>
      <c r="I48" s="20" t="inlineStr"/>
      <c r="J48" s="20" t="inlineStr"/>
      <c r="K48" s="20" t="inlineStr"/>
      <c r="L48" s="21" t="inlineStr"/>
    </row>
  </sheetData>
  <mergeCells count="10">
    <mergeCell ref="A24:L24"/>
    <mergeCell ref="H4:H6"/>
    <mergeCell ref="A2:L2"/>
    <mergeCell ref="H26:H27"/>
    <mergeCell ref="H15:H17"/>
    <mergeCell ref="A1:L1"/>
    <mergeCell ref="A13:L13"/>
    <mergeCell ref="A36:L36"/>
    <mergeCell ref="H28:H29"/>
    <mergeCell ref="H38:H4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8" customWidth="1" min="1" max="1"/>
    <col width="16" customWidth="1" min="2" max="2"/>
    <col width="30" customWidth="1" min="3" max="3"/>
    <col width="30" customWidth="1" min="4" max="4"/>
    <col width="30" customWidth="1" min="5" max="5"/>
    <col width="12" customWidth="1" min="6" max="6"/>
    <col width="20" customWidth="1" min="7" max="7"/>
    <col width="50" customWidth="1" min="8" max="8"/>
  </cols>
  <sheetData>
    <row r="1" ht="24" customHeight="1">
      <c r="A1" s="9" t="inlineStr">
        <is>
          <t>PROGRESS LOG — fill in after each week</t>
        </is>
      </c>
    </row>
    <row r="2">
      <c r="A2" s="4" t="inlineStr">
        <is>
          <t>Week</t>
        </is>
      </c>
      <c r="B2" s="4" t="inlineStr">
        <is>
          <t>Bodyweight (lbs)</t>
        </is>
      </c>
      <c r="C2" s="4" t="inlineStr">
        <is>
          <t>Squat: best set (wt × reps @ RPE)</t>
        </is>
      </c>
      <c r="D2" s="4" t="inlineStr">
        <is>
          <t>Bench: best set</t>
        </is>
      </c>
      <c r="E2" s="4" t="inlineStr">
        <is>
          <t>Deadlift: best set</t>
        </is>
      </c>
      <c r="F2" s="4" t="inlineStr">
        <is>
          <t>Sleep (1-10)</t>
        </is>
      </c>
      <c r="G2" s="4" t="inlineStr">
        <is>
          <t>Pump / Enjoyment (1-10)</t>
        </is>
      </c>
      <c r="H2" s="4" t="inlineStr">
        <is>
          <t>Weekly Notes &amp; Wins</t>
        </is>
      </c>
    </row>
    <row r="3" ht="28" customHeight="1">
      <c r="A3" s="22" t="n">
        <v>1</v>
      </c>
      <c r="B3" s="23" t="n"/>
      <c r="C3" s="23" t="n"/>
      <c r="D3" s="23" t="n"/>
      <c r="E3" s="23" t="n"/>
      <c r="F3" s="23" t="n"/>
      <c r="G3" s="23" t="n"/>
      <c r="H3" s="23" t="n"/>
    </row>
    <row r="4" ht="28" customHeight="1">
      <c r="A4" s="24" t="n">
        <v>2</v>
      </c>
      <c r="B4" s="25" t="n"/>
      <c r="C4" s="25" t="n"/>
      <c r="D4" s="25" t="n"/>
      <c r="E4" s="25" t="n"/>
      <c r="F4" s="25" t="n"/>
      <c r="G4" s="25" t="n"/>
      <c r="H4" s="25" t="n"/>
    </row>
    <row r="5" ht="28" customHeight="1">
      <c r="A5" s="22" t="n">
        <v>3</v>
      </c>
      <c r="B5" s="23" t="n"/>
      <c r="C5" s="23" t="n"/>
      <c r="D5" s="23" t="n"/>
      <c r="E5" s="23" t="n"/>
      <c r="F5" s="23" t="n"/>
      <c r="G5" s="23" t="n"/>
      <c r="H5" s="23" t="n"/>
    </row>
    <row r="6" ht="28" customHeight="1">
      <c r="A6" s="24" t="n">
        <v>4</v>
      </c>
      <c r="B6" s="25" t="n"/>
      <c r="C6" s="25" t="n"/>
      <c r="D6" s="25" t="n"/>
      <c r="E6" s="25" t="n"/>
      <c r="F6" s="25" t="n"/>
      <c r="G6" s="25" t="n"/>
      <c r="H6" s="25" t="n"/>
    </row>
    <row r="7" ht="28" customHeight="1">
      <c r="A7" s="22" t="n">
        <v>5</v>
      </c>
      <c r="B7" s="23" t="n"/>
      <c r="C7" s="23" t="n"/>
      <c r="D7" s="23" t="n"/>
      <c r="E7" s="23" t="n"/>
      <c r="F7" s="23" t="n"/>
      <c r="G7" s="23" t="n"/>
      <c r="H7" s="23" t="n"/>
    </row>
    <row r="8" ht="28" customHeight="1">
      <c r="A8" s="24" t="n">
        <v>6</v>
      </c>
      <c r="B8" s="25" t="n"/>
      <c r="C8" s="25" t="n"/>
      <c r="D8" s="25" t="n"/>
      <c r="E8" s="25" t="n"/>
      <c r="F8" s="25" t="n"/>
      <c r="G8" s="25" t="n"/>
      <c r="H8" s="25" t="n"/>
    </row>
    <row r="9" ht="28" customHeight="1">
      <c r="A9" s="22" t="n">
        <v>7</v>
      </c>
      <c r="B9" s="23" t="n"/>
      <c r="C9" s="23" t="n"/>
      <c r="D9" s="23" t="n"/>
      <c r="E9" s="23" t="n"/>
      <c r="F9" s="23" t="n"/>
      <c r="G9" s="23" t="n"/>
      <c r="H9" s="23" t="n"/>
    </row>
    <row r="10" ht="28" customHeight="1">
      <c r="A10" s="24" t="n">
        <v>8</v>
      </c>
      <c r="B10" s="25" t="n"/>
      <c r="C10" s="25" t="n"/>
      <c r="D10" s="25" t="n"/>
      <c r="E10" s="25" t="n"/>
      <c r="F10" s="25" t="n"/>
      <c r="G10" s="25" t="n"/>
      <c r="H10" s="25" t="n"/>
    </row>
    <row r="12">
      <c r="A12" s="26" t="inlineStr">
        <is>
          <t>e1RM formula: weight × (1 + reps/30). Use your Week 7 AMRAP to set next cycle's maxes.</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2026-07-07T11:14:30Z</dcterms:created>
  <dcterms:modified xmlns:dcterms="http://purl.org/dc/terms/" xmlns:xsi="http://www.w3.org/2001/XMLSchema-instance" xsi:type="dcterms:W3CDTF">2026-07-07T11:14:30Z</dcterms:modified>
</cp:coreProperties>
</file>